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csat" sheetId="1" r:id="rId5"/>
    <sheet state="visible" name="processed_csat" sheetId="2" r:id="rId6"/>
    <sheet state="visible" name="csat_por_canal" sheetId="3" r:id="rId7"/>
    <sheet state="visible" name="metrics" sheetId="4" r:id="rId8"/>
    <sheet state="visible" name="csat_por_data" sheetId="5" r:id="rId9"/>
    <sheet state="visible" name="tempo_vs_csat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<sst xmlns="http://schemas.openxmlformats.org/spreadsheetml/2006/main" count="633" uniqueCount="28">
  <si>
    <t>data_atendimento</t>
  </si>
  <si>
    <t>canal</t>
  </si>
  <si>
    <t>avaliacao_csat</t>
  </si>
  <si>
    <t>status_resolucao</t>
  </si>
  <si>
    <t>tempo_atendimento_min</t>
  </si>
  <si>
    <t>Telefone</t>
  </si>
  <si>
    <t>Resolvido</t>
  </si>
  <si>
    <t>WhatsApp</t>
  </si>
  <si>
    <t>Não Resolvido</t>
  </si>
  <si>
    <t>Chat</t>
  </si>
  <si>
    <t>E-mail</t>
  </si>
  <si>
    <t>Bot</t>
  </si>
  <si>
    <t>Data</t>
  </si>
  <si>
    <t>Canal</t>
  </si>
  <si>
    <t>CSAT</t>
  </si>
  <si>
    <t>CSAT Positivo</t>
  </si>
  <si>
    <t>Tempo Atendimento (min)</t>
  </si>
  <si>
    <t>Faixa de Tempo</t>
  </si>
  <si>
    <t>CSAT médio</t>
  </si>
  <si>
    <t>Total geral</t>
  </si>
  <si>
    <t>CSAT médio do período</t>
  </si>
  <si>
    <t>CSAT positivo</t>
  </si>
  <si>
    <t>Total de atendimentos</t>
  </si>
  <si>
    <t>Total de Atendimentos</t>
  </si>
  <si>
    <t>Até 5 min</t>
  </si>
  <si>
    <t>Acima de 20 min</t>
  </si>
  <si>
    <t>6 a 10 min</t>
  </si>
  <si>
    <t>11 a 20 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</si>
</sst>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Font="1"/>
    <xf borderId="0" fillId="2" fontId="1" numFmtId="0" xfId="0" applyAlignment="1" applyFill="1" applyFont="1">
      <alignment readingOrder="0"/>
    </xf>
    <xf borderId="0" fillId="0" fontId="3" numFmtId="164" xfId="0" applyFont="1" applyNumberFormat="1"/>
    <xf borderId="0" fillId="0" fontId="1" numFmtId="0" xfId="0" applyAlignment="1" applyFont="1">
      <alignment readingOrder="0"/>
    </xf>
    <xf borderId="0" fillId="0" fontId="3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CSAT por Data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csat_por_data!$B$1</c:f>
            </c:strRef>
          </c:tx>
          <c:spPr>
            <a:ln cmpd="sng">
              <a:solidFill>
                <a:srgbClr val="00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cat>
            <c:strRef>
              <c:f>csat_por_data!$A$2:$A$32</c:f>
            </c:strRef>
          </c:cat>
          <c:val>
            <c:numRef>
              <c:f>csat_por_data!$B$2:$B$32</c:f>
              <c:numCache/>
            </c:numRef>
          </c:val>
          <c:smooth val="0"/>
        </c:ser>
        <c:axId val="1475941205"/>
        <c:axId val="994879608"/>
      </c:lineChart>
      <c:catAx>
        <c:axId val="14759412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994879608"/>
      </c:catAx>
      <c:valAx>
        <c:axId val="9948796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CSAT médio</a:t>
                </a:r>
              </a:p>
            </c:rich>
          </c:tx>
          <c:layout>
            <c:manualLayout>
              <c:xMode val="edge"/>
              <c:yMode val="edge"/>
              <c:x val="0.03091666666666667"/>
              <c:y val="0.1345462713387241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4759412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0</xdr:rowOff>
    </xdr:from>
    <xdr:ext cx="8734425" cy="54006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301" sheet="processed_csat"/>
  </cacheSource>
  <cacheFields>
    <cacheField name="Data" numFmtId="164">
      <sharedItems containsSemiMixedTypes="0" containsDate="1" containsString="0">
        <d v="2025-01-14T00:00:00Z"/>
        <d v="2025-01-10T00:00:00Z"/>
        <d v="2025-01-17T00:00:00Z"/>
        <d v="2025-01-20T00:00:00Z"/>
        <d v="2025-01-24T00:00:00Z"/>
        <d v="2025-01-29T00:00:00Z"/>
        <d v="2025-01-19T00:00:00Z"/>
        <d v="2025-01-01T00:00:00Z"/>
        <d v="2025-01-21T00:00:00Z"/>
        <d v="2025-01-09T00:00:00Z"/>
        <d v="2025-01-12T00:00:00Z"/>
        <d v="2025-01-28T00:00:00Z"/>
        <d v="2025-01-04T00:00:00Z"/>
        <d v="2025-01-05T00:00:00Z"/>
        <d v="2025-01-16T00:00:00Z"/>
        <d v="2025-01-13T00:00:00Z"/>
        <d v="2025-01-08T00:00:00Z"/>
        <d v="2025-01-30T00:00:00Z"/>
        <d v="2025-01-06T00:00:00Z"/>
        <d v="2025-01-27T00:00:00Z"/>
        <d v="2025-01-11T00:00:00Z"/>
        <d v="2025-01-26T00:00:00Z"/>
        <d v="2025-01-15T00:00:00Z"/>
        <d v="2025-01-07T00:00:00Z"/>
        <d v="2025-01-02T00:00:00Z"/>
        <d v="2025-01-22T00:00:00Z"/>
        <d v="2025-01-23T00:00:00Z"/>
        <d v="2025-01-25T00:00:00Z"/>
        <d v="2025-01-18T00:00:00Z"/>
        <d v="2025-01-03T00:00:00Z"/>
      </sharedItems>
    </cacheField>
    <cacheField name="Canal" numFmtId="0">
      <sharedItems>
        <s v="Telefone"/>
        <s v="WhatsApp"/>
        <s v="Chat"/>
        <s v="E-mail"/>
        <s v="Bot"/>
      </sharedItems>
    </cacheField>
    <cacheField name="CSAT" numFmtId="0">
      <sharedItems containsSemiMixedTypes="0" containsString="0" containsNumber="1" containsInteger="1">
        <n v="5.0"/>
        <n v="3.0"/>
        <n v="1.0"/>
        <n v="4.0"/>
        <n v="2.0"/>
      </sharedItems>
    </cacheField>
    <cacheField name="CSAT Positivo" numFmtId="0">
      <sharedItems containsSemiMixedTypes="0" containsString="0" containsNumber="1" containsInteger="1">
        <n v="1.0"/>
        <n v="0.0"/>
      </sharedItems>
    </cacheField>
    <cacheField name="Tempo Atendimento (min)" numFmtId="0">
      <sharedItems containsSemiMixedTypes="0" containsString="0" containsNumber="1" containsInteger="1">
        <n v="11.0"/>
        <n v="33.0"/>
        <n v="26.0"/>
        <n v="13.0"/>
        <n v="39.0"/>
        <n v="7.0"/>
        <n v="10.0"/>
        <n v="27.0"/>
        <n v="22.0"/>
        <n v="15.0"/>
        <n v="43.0"/>
        <n v="44.0"/>
        <n v="17.0"/>
        <n v="9.0"/>
        <n v="23.0"/>
        <n v="3.0"/>
        <n v="2.0"/>
        <n v="25.0"/>
        <n v="5.0"/>
        <n v="30.0"/>
        <n v="18.0"/>
        <n v="12.0"/>
        <n v="31.0"/>
        <n v="42.0"/>
        <n v="6.0"/>
        <n v="4.0"/>
        <n v="14.0"/>
        <n v="21.0"/>
        <n v="16.0"/>
        <n v="28.0"/>
        <n v="41.0"/>
        <n v="8.0"/>
        <n v="36.0"/>
        <n v="34.0"/>
        <n v="19.0"/>
        <n v="45.0"/>
        <n v="24.0"/>
        <n v="37.0"/>
        <n v="32.0"/>
        <n v="29.0"/>
        <n v="20.0"/>
        <n v="35.0"/>
        <n v="40.0"/>
        <n v="38.0"/>
      </sharedItems>
    </cacheField>
    <cacheField name="Faixa de Tempo" numFmtId="0">
      <sharedItems>
        <s v="11 a 20 min"/>
        <s v="Acima de 20 min"/>
        <s v="6 a 10 min"/>
        <s v="Até 5 min"/>
      </sharedItems>
    </cacheField>
  </cacheFields>
</pivotCach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0.0"/>
    <col customWidth="1" min="3" max="3" width="13.43"/>
    <col customWidth="1" min="4" max="4" width="15.43"/>
    <col customWidth="1" min="5" max="5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45671.0</v>
      </c>
      <c r="B2" s="3" t="s">
        <v>5</v>
      </c>
      <c r="C2" s="3">
        <v>5.0</v>
      </c>
      <c r="D2" s="3" t="s">
        <v>6</v>
      </c>
      <c r="E2" s="3">
        <v>11.0</v>
      </c>
    </row>
    <row r="3">
      <c r="A3" s="2">
        <v>45667.0</v>
      </c>
      <c r="B3" s="3" t="s">
        <v>7</v>
      </c>
      <c r="C3" s="3">
        <v>3.0</v>
      </c>
      <c r="D3" s="3" t="s">
        <v>6</v>
      </c>
      <c r="E3" s="3">
        <v>33.0</v>
      </c>
    </row>
    <row r="4">
      <c r="A4" s="2">
        <v>45674.0</v>
      </c>
      <c r="B4" s="3" t="s">
        <v>7</v>
      </c>
      <c r="C4" s="3">
        <v>5.0</v>
      </c>
      <c r="D4" s="3" t="s">
        <v>8</v>
      </c>
      <c r="E4" s="3">
        <v>26.0</v>
      </c>
    </row>
    <row r="5">
      <c r="A5" s="2">
        <v>45677.0</v>
      </c>
      <c r="B5" s="3" t="s">
        <v>5</v>
      </c>
      <c r="C5" s="3">
        <v>1.0</v>
      </c>
      <c r="D5" s="3" t="s">
        <v>6</v>
      </c>
      <c r="E5" s="3">
        <v>13.0</v>
      </c>
    </row>
    <row r="6">
      <c r="A6" s="2">
        <v>45681.0</v>
      </c>
      <c r="B6" s="3" t="s">
        <v>9</v>
      </c>
      <c r="C6" s="3">
        <v>4.0</v>
      </c>
      <c r="D6" s="3" t="s">
        <v>6</v>
      </c>
      <c r="E6" s="3">
        <v>33.0</v>
      </c>
    </row>
    <row r="7">
      <c r="A7" s="2">
        <v>45667.0</v>
      </c>
      <c r="B7" s="3" t="s">
        <v>9</v>
      </c>
      <c r="C7" s="3">
        <v>1.0</v>
      </c>
      <c r="D7" s="3" t="s">
        <v>8</v>
      </c>
      <c r="E7" s="3">
        <v>39.0</v>
      </c>
    </row>
    <row r="8">
      <c r="A8" s="2">
        <v>45686.0</v>
      </c>
      <c r="B8" s="3" t="s">
        <v>10</v>
      </c>
      <c r="C8" s="3">
        <v>5.0</v>
      </c>
      <c r="D8" s="3" t="s">
        <v>8</v>
      </c>
      <c r="E8" s="3">
        <v>7.0</v>
      </c>
    </row>
    <row r="9">
      <c r="A9" s="2">
        <v>45676.0</v>
      </c>
      <c r="B9" s="3" t="s">
        <v>9</v>
      </c>
      <c r="C9" s="3">
        <v>4.0</v>
      </c>
      <c r="D9" s="3" t="s">
        <v>6</v>
      </c>
      <c r="E9" s="3">
        <v>10.0</v>
      </c>
    </row>
    <row r="10">
      <c r="A10" s="2">
        <v>45658.0</v>
      </c>
      <c r="B10" s="3" t="s">
        <v>9</v>
      </c>
      <c r="C10" s="3">
        <v>3.0</v>
      </c>
      <c r="D10" s="3" t="s">
        <v>8</v>
      </c>
      <c r="E10" s="3">
        <v>27.0</v>
      </c>
    </row>
    <row r="11">
      <c r="A11" s="2">
        <v>45686.0</v>
      </c>
      <c r="B11" s="3" t="s">
        <v>9</v>
      </c>
      <c r="C11" s="3">
        <v>4.0</v>
      </c>
      <c r="D11" s="3" t="s">
        <v>6</v>
      </c>
      <c r="E11" s="3">
        <v>22.0</v>
      </c>
    </row>
    <row r="12">
      <c r="A12" s="2">
        <v>45678.0</v>
      </c>
      <c r="B12" s="3" t="s">
        <v>9</v>
      </c>
      <c r="C12" s="3">
        <v>3.0</v>
      </c>
      <c r="D12" s="3" t="s">
        <v>6</v>
      </c>
      <c r="E12" s="3">
        <v>26.0</v>
      </c>
    </row>
    <row r="13">
      <c r="A13" s="2">
        <v>45666.0</v>
      </c>
      <c r="B13" s="3" t="s">
        <v>10</v>
      </c>
      <c r="C13" s="3">
        <v>2.0</v>
      </c>
      <c r="D13" s="3" t="s">
        <v>8</v>
      </c>
      <c r="E13" s="3">
        <v>15.0</v>
      </c>
    </row>
    <row r="14">
      <c r="A14" s="2">
        <v>45669.0</v>
      </c>
      <c r="B14" s="3" t="s">
        <v>11</v>
      </c>
      <c r="C14" s="3">
        <v>1.0</v>
      </c>
      <c r="D14" s="3" t="s">
        <v>6</v>
      </c>
      <c r="E14" s="3">
        <v>11.0</v>
      </c>
    </row>
    <row r="15">
      <c r="A15" s="2">
        <v>45685.0</v>
      </c>
      <c r="B15" s="3" t="s">
        <v>10</v>
      </c>
      <c r="C15" s="3">
        <v>4.0</v>
      </c>
      <c r="D15" s="3" t="s">
        <v>6</v>
      </c>
      <c r="E15" s="3">
        <v>43.0</v>
      </c>
    </row>
    <row r="16">
      <c r="A16" s="2">
        <v>45661.0</v>
      </c>
      <c r="B16" s="3" t="s">
        <v>5</v>
      </c>
      <c r="C16" s="3">
        <v>3.0</v>
      </c>
      <c r="D16" s="3" t="s">
        <v>6</v>
      </c>
      <c r="E16" s="3">
        <v>27.0</v>
      </c>
    </row>
    <row r="17">
      <c r="A17" s="2">
        <v>45662.0</v>
      </c>
      <c r="B17" s="3" t="s">
        <v>5</v>
      </c>
      <c r="C17" s="3">
        <v>5.0</v>
      </c>
      <c r="D17" s="3" t="s">
        <v>6</v>
      </c>
      <c r="E17" s="3">
        <v>44.0</v>
      </c>
    </row>
    <row r="18">
      <c r="A18" s="2">
        <v>45681.0</v>
      </c>
      <c r="B18" s="3" t="s">
        <v>9</v>
      </c>
      <c r="C18" s="3">
        <v>4.0</v>
      </c>
      <c r="D18" s="3" t="s">
        <v>6</v>
      </c>
      <c r="E18" s="3">
        <v>27.0</v>
      </c>
    </row>
    <row r="19">
      <c r="A19" s="2">
        <v>45673.0</v>
      </c>
      <c r="B19" s="3" t="s">
        <v>5</v>
      </c>
      <c r="C19" s="3">
        <v>5.0</v>
      </c>
      <c r="D19" s="3" t="s">
        <v>6</v>
      </c>
      <c r="E19" s="3">
        <v>17.0</v>
      </c>
    </row>
    <row r="20">
      <c r="A20" s="2">
        <v>45685.0</v>
      </c>
      <c r="B20" s="3" t="s">
        <v>5</v>
      </c>
      <c r="C20" s="3">
        <v>5.0</v>
      </c>
      <c r="D20" s="3" t="s">
        <v>6</v>
      </c>
      <c r="E20" s="3">
        <v>9.0</v>
      </c>
    </row>
    <row r="21" ht="15.75" customHeight="1">
      <c r="A21" s="2">
        <v>45670.0</v>
      </c>
      <c r="B21" s="3" t="s">
        <v>5</v>
      </c>
      <c r="C21" s="3">
        <v>5.0</v>
      </c>
      <c r="D21" s="3" t="s">
        <v>6</v>
      </c>
      <c r="E21" s="3">
        <v>23.0</v>
      </c>
    </row>
    <row r="22" ht="15.75" customHeight="1">
      <c r="A22" s="2">
        <v>45667.0</v>
      </c>
      <c r="B22" s="3" t="s">
        <v>5</v>
      </c>
      <c r="C22" s="3">
        <v>2.0</v>
      </c>
      <c r="D22" s="3" t="s">
        <v>6</v>
      </c>
      <c r="E22" s="3">
        <v>44.0</v>
      </c>
    </row>
    <row r="23" ht="15.75" customHeight="1">
      <c r="A23" s="2">
        <v>45658.0</v>
      </c>
      <c r="B23" s="3" t="s">
        <v>5</v>
      </c>
      <c r="C23" s="3">
        <v>4.0</v>
      </c>
      <c r="D23" s="3" t="s">
        <v>8</v>
      </c>
      <c r="E23" s="3">
        <v>3.0</v>
      </c>
    </row>
    <row r="24" ht="15.75" customHeight="1">
      <c r="A24" s="2">
        <v>45670.0</v>
      </c>
      <c r="B24" s="3" t="s">
        <v>10</v>
      </c>
      <c r="C24" s="3">
        <v>2.0</v>
      </c>
      <c r="D24" s="3" t="s">
        <v>8</v>
      </c>
      <c r="E24" s="3">
        <v>2.0</v>
      </c>
    </row>
    <row r="25" ht="15.75" customHeight="1">
      <c r="A25" s="2">
        <v>45671.0</v>
      </c>
      <c r="B25" s="3" t="s">
        <v>11</v>
      </c>
      <c r="C25" s="3">
        <v>1.0</v>
      </c>
      <c r="D25" s="3" t="s">
        <v>6</v>
      </c>
      <c r="E25" s="3">
        <v>25.0</v>
      </c>
    </row>
    <row r="26" ht="15.75" customHeight="1">
      <c r="A26" s="2">
        <v>45665.0</v>
      </c>
      <c r="B26" s="3" t="s">
        <v>11</v>
      </c>
      <c r="C26" s="3">
        <v>1.0</v>
      </c>
      <c r="D26" s="3" t="s">
        <v>6</v>
      </c>
      <c r="E26" s="3">
        <v>33.0</v>
      </c>
    </row>
    <row r="27" ht="15.75" customHeight="1">
      <c r="A27" s="2">
        <v>45687.0</v>
      </c>
      <c r="B27" s="3" t="s">
        <v>7</v>
      </c>
      <c r="C27" s="3">
        <v>4.0</v>
      </c>
      <c r="D27" s="3" t="s">
        <v>6</v>
      </c>
      <c r="E27" s="3">
        <v>23.0</v>
      </c>
    </row>
    <row r="28" ht="15.75" customHeight="1">
      <c r="A28" s="2">
        <v>45665.0</v>
      </c>
      <c r="B28" s="3" t="s">
        <v>7</v>
      </c>
      <c r="C28" s="3">
        <v>2.0</v>
      </c>
      <c r="D28" s="3" t="s">
        <v>6</v>
      </c>
      <c r="E28" s="3">
        <v>3.0</v>
      </c>
    </row>
    <row r="29" ht="15.75" customHeight="1">
      <c r="A29" s="2">
        <v>45663.0</v>
      </c>
      <c r="B29" s="3" t="s">
        <v>5</v>
      </c>
      <c r="C29" s="3">
        <v>5.0</v>
      </c>
      <c r="D29" s="3" t="s">
        <v>6</v>
      </c>
      <c r="E29" s="3">
        <v>5.0</v>
      </c>
    </row>
    <row r="30" ht="15.75" customHeight="1">
      <c r="A30" s="2">
        <v>45677.0</v>
      </c>
      <c r="B30" s="3" t="s">
        <v>10</v>
      </c>
      <c r="C30" s="3">
        <v>4.0</v>
      </c>
      <c r="D30" s="3" t="s">
        <v>8</v>
      </c>
      <c r="E30" s="3">
        <v>30.0</v>
      </c>
    </row>
    <row r="31" ht="15.75" customHeight="1">
      <c r="A31" s="2">
        <v>45684.0</v>
      </c>
      <c r="B31" s="3" t="s">
        <v>5</v>
      </c>
      <c r="C31" s="3">
        <v>4.0</v>
      </c>
      <c r="D31" s="3" t="s">
        <v>6</v>
      </c>
      <c r="E31" s="3">
        <v>18.0</v>
      </c>
    </row>
    <row r="32" ht="15.75" customHeight="1">
      <c r="A32" s="2">
        <v>45661.0</v>
      </c>
      <c r="B32" s="3" t="s">
        <v>10</v>
      </c>
      <c r="C32" s="3">
        <v>5.0</v>
      </c>
      <c r="D32" s="3" t="s">
        <v>6</v>
      </c>
      <c r="E32" s="3">
        <v>10.0</v>
      </c>
    </row>
    <row r="33" ht="15.75" customHeight="1">
      <c r="A33" s="2">
        <v>45663.0</v>
      </c>
      <c r="B33" s="3" t="s">
        <v>10</v>
      </c>
      <c r="C33" s="3">
        <v>3.0</v>
      </c>
      <c r="D33" s="3" t="s">
        <v>6</v>
      </c>
      <c r="E33" s="3">
        <v>12.0</v>
      </c>
    </row>
    <row r="34" ht="15.75" customHeight="1">
      <c r="A34" s="2">
        <v>45668.0</v>
      </c>
      <c r="B34" s="3" t="s">
        <v>7</v>
      </c>
      <c r="C34" s="3">
        <v>2.0</v>
      </c>
      <c r="D34" s="3" t="s">
        <v>6</v>
      </c>
      <c r="E34" s="3">
        <v>26.0</v>
      </c>
    </row>
    <row r="35" ht="15.75" customHeight="1">
      <c r="A35" s="2">
        <v>45685.0</v>
      </c>
      <c r="B35" s="3" t="s">
        <v>10</v>
      </c>
      <c r="C35" s="3">
        <v>5.0</v>
      </c>
      <c r="D35" s="3" t="s">
        <v>6</v>
      </c>
      <c r="E35" s="3">
        <v>30.0</v>
      </c>
    </row>
    <row r="36" ht="15.75" customHeight="1">
      <c r="A36" s="2">
        <v>45673.0</v>
      </c>
      <c r="B36" s="3" t="s">
        <v>7</v>
      </c>
      <c r="C36" s="3">
        <v>2.0</v>
      </c>
      <c r="D36" s="3" t="s">
        <v>6</v>
      </c>
      <c r="E36" s="3">
        <v>30.0</v>
      </c>
    </row>
    <row r="37" ht="15.75" customHeight="1">
      <c r="A37" s="2">
        <v>45666.0</v>
      </c>
      <c r="B37" s="3" t="s">
        <v>9</v>
      </c>
      <c r="C37" s="3">
        <v>2.0</v>
      </c>
      <c r="D37" s="3" t="s">
        <v>6</v>
      </c>
      <c r="E37" s="3">
        <v>31.0</v>
      </c>
    </row>
    <row r="38" ht="15.75" customHeight="1">
      <c r="A38" s="2">
        <v>45687.0</v>
      </c>
      <c r="B38" s="3" t="s">
        <v>10</v>
      </c>
      <c r="C38" s="3">
        <v>2.0</v>
      </c>
      <c r="D38" s="3" t="s">
        <v>8</v>
      </c>
      <c r="E38" s="3">
        <v>44.0</v>
      </c>
    </row>
    <row r="39" ht="15.75" customHeight="1">
      <c r="A39" s="2">
        <v>45661.0</v>
      </c>
      <c r="B39" s="3" t="s">
        <v>9</v>
      </c>
      <c r="C39" s="3">
        <v>5.0</v>
      </c>
      <c r="D39" s="3" t="s">
        <v>8</v>
      </c>
      <c r="E39" s="3">
        <v>26.0</v>
      </c>
    </row>
    <row r="40" ht="15.75" customHeight="1">
      <c r="A40" s="2">
        <v>45681.0</v>
      </c>
      <c r="B40" s="3" t="s">
        <v>11</v>
      </c>
      <c r="C40" s="3">
        <v>3.0</v>
      </c>
      <c r="D40" s="3" t="s">
        <v>6</v>
      </c>
      <c r="E40" s="3">
        <v>22.0</v>
      </c>
    </row>
    <row r="41" ht="15.75" customHeight="1">
      <c r="A41" s="2">
        <v>45686.0</v>
      </c>
      <c r="B41" s="3" t="s">
        <v>5</v>
      </c>
      <c r="C41" s="3">
        <v>1.0</v>
      </c>
      <c r="D41" s="3" t="s">
        <v>6</v>
      </c>
      <c r="E41" s="3">
        <v>26.0</v>
      </c>
    </row>
    <row r="42" ht="15.75" customHeight="1">
      <c r="A42" s="2">
        <v>45683.0</v>
      </c>
      <c r="B42" s="3" t="s">
        <v>11</v>
      </c>
      <c r="C42" s="3">
        <v>4.0</v>
      </c>
      <c r="D42" s="3" t="s">
        <v>6</v>
      </c>
      <c r="E42" s="3">
        <v>15.0</v>
      </c>
    </row>
    <row r="43" ht="15.75" customHeight="1">
      <c r="A43" s="2">
        <v>45669.0</v>
      </c>
      <c r="B43" s="3" t="s">
        <v>11</v>
      </c>
      <c r="C43" s="3">
        <v>4.0</v>
      </c>
      <c r="D43" s="3" t="s">
        <v>6</v>
      </c>
      <c r="E43" s="3">
        <v>42.0</v>
      </c>
    </row>
    <row r="44" ht="15.75" customHeight="1">
      <c r="A44" s="2">
        <v>45663.0</v>
      </c>
      <c r="B44" s="3" t="s">
        <v>9</v>
      </c>
      <c r="C44" s="3">
        <v>2.0</v>
      </c>
      <c r="D44" s="3" t="s">
        <v>6</v>
      </c>
      <c r="E44" s="3">
        <v>6.0</v>
      </c>
    </row>
    <row r="45" ht="15.75" customHeight="1">
      <c r="A45" s="2">
        <v>45672.0</v>
      </c>
      <c r="B45" s="3" t="s">
        <v>7</v>
      </c>
      <c r="C45" s="3">
        <v>5.0</v>
      </c>
      <c r="D45" s="3" t="s">
        <v>8</v>
      </c>
      <c r="E45" s="3">
        <v>12.0</v>
      </c>
    </row>
    <row r="46" ht="15.75" customHeight="1">
      <c r="A46" s="2">
        <v>45687.0</v>
      </c>
      <c r="B46" s="3" t="s">
        <v>10</v>
      </c>
      <c r="C46" s="3">
        <v>4.0</v>
      </c>
      <c r="D46" s="3" t="s">
        <v>6</v>
      </c>
      <c r="E46" s="3">
        <v>13.0</v>
      </c>
    </row>
    <row r="47" ht="15.75" customHeight="1">
      <c r="A47" s="2">
        <v>45684.0</v>
      </c>
      <c r="B47" s="3" t="s">
        <v>5</v>
      </c>
      <c r="C47" s="3">
        <v>3.0</v>
      </c>
      <c r="D47" s="3" t="s">
        <v>6</v>
      </c>
      <c r="E47" s="3">
        <v>23.0</v>
      </c>
    </row>
    <row r="48" ht="15.75" customHeight="1">
      <c r="A48" s="2">
        <v>45687.0</v>
      </c>
      <c r="B48" s="3" t="s">
        <v>10</v>
      </c>
      <c r="C48" s="3">
        <v>1.0</v>
      </c>
      <c r="D48" s="3" t="s">
        <v>6</v>
      </c>
      <c r="E48" s="3">
        <v>5.0</v>
      </c>
    </row>
    <row r="49" ht="15.75" customHeight="1">
      <c r="A49" s="2">
        <v>45671.0</v>
      </c>
      <c r="B49" s="3" t="s">
        <v>11</v>
      </c>
      <c r="C49" s="3">
        <v>4.0</v>
      </c>
      <c r="D49" s="3" t="s">
        <v>6</v>
      </c>
      <c r="E49" s="3">
        <v>4.0</v>
      </c>
    </row>
    <row r="50" ht="15.75" customHeight="1">
      <c r="A50" s="2">
        <v>45666.0</v>
      </c>
      <c r="B50" s="3" t="s">
        <v>5</v>
      </c>
      <c r="C50" s="3">
        <v>3.0</v>
      </c>
      <c r="D50" s="3" t="s">
        <v>6</v>
      </c>
      <c r="E50" s="3">
        <v>14.0</v>
      </c>
    </row>
    <row r="51" ht="15.75" customHeight="1">
      <c r="A51" s="2">
        <v>45669.0</v>
      </c>
      <c r="B51" s="3" t="s">
        <v>5</v>
      </c>
      <c r="C51" s="3">
        <v>3.0</v>
      </c>
      <c r="D51" s="3" t="s">
        <v>6</v>
      </c>
      <c r="E51" s="3">
        <v>30.0</v>
      </c>
    </row>
    <row r="52" ht="15.75" customHeight="1">
      <c r="A52" s="2">
        <v>45681.0</v>
      </c>
      <c r="B52" s="3" t="s">
        <v>9</v>
      </c>
      <c r="C52" s="3">
        <v>4.0</v>
      </c>
      <c r="D52" s="3" t="s">
        <v>6</v>
      </c>
      <c r="E52" s="3">
        <v>10.0</v>
      </c>
    </row>
    <row r="53" ht="15.75" customHeight="1">
      <c r="A53" s="2">
        <v>45663.0</v>
      </c>
      <c r="B53" s="3" t="s">
        <v>11</v>
      </c>
      <c r="C53" s="3">
        <v>1.0</v>
      </c>
      <c r="D53" s="3" t="s">
        <v>6</v>
      </c>
      <c r="E53" s="3">
        <v>6.0</v>
      </c>
    </row>
    <row r="54" ht="15.75" customHeight="1">
      <c r="A54" s="2">
        <v>45672.0</v>
      </c>
      <c r="B54" s="3" t="s">
        <v>11</v>
      </c>
      <c r="C54" s="3">
        <v>1.0</v>
      </c>
      <c r="D54" s="3" t="s">
        <v>6</v>
      </c>
      <c r="E54" s="3">
        <v>39.0</v>
      </c>
    </row>
    <row r="55" ht="15.75" customHeight="1">
      <c r="A55" s="2">
        <v>45670.0</v>
      </c>
      <c r="B55" s="3" t="s">
        <v>5</v>
      </c>
      <c r="C55" s="3">
        <v>5.0</v>
      </c>
      <c r="D55" s="3" t="s">
        <v>8</v>
      </c>
      <c r="E55" s="3">
        <v>11.0</v>
      </c>
    </row>
    <row r="56" ht="15.75" customHeight="1">
      <c r="A56" s="2">
        <v>45662.0</v>
      </c>
      <c r="B56" s="3" t="s">
        <v>5</v>
      </c>
      <c r="C56" s="3">
        <v>1.0</v>
      </c>
      <c r="D56" s="3" t="s">
        <v>6</v>
      </c>
      <c r="E56" s="3">
        <v>44.0</v>
      </c>
    </row>
    <row r="57" ht="15.75" customHeight="1">
      <c r="A57" s="2">
        <v>45686.0</v>
      </c>
      <c r="B57" s="3" t="s">
        <v>7</v>
      </c>
      <c r="C57" s="3">
        <v>2.0</v>
      </c>
      <c r="D57" s="3" t="s">
        <v>8</v>
      </c>
      <c r="E57" s="3">
        <v>25.0</v>
      </c>
    </row>
    <row r="58" ht="15.75" customHeight="1">
      <c r="A58" s="2">
        <v>45664.0</v>
      </c>
      <c r="B58" s="3" t="s">
        <v>10</v>
      </c>
      <c r="C58" s="3">
        <v>4.0</v>
      </c>
      <c r="D58" s="3" t="s">
        <v>6</v>
      </c>
      <c r="E58" s="3">
        <v>21.0</v>
      </c>
    </row>
    <row r="59" ht="15.75" customHeight="1">
      <c r="A59" s="2">
        <v>45671.0</v>
      </c>
      <c r="B59" s="3" t="s">
        <v>9</v>
      </c>
      <c r="C59" s="3">
        <v>2.0</v>
      </c>
      <c r="D59" s="3" t="s">
        <v>8</v>
      </c>
      <c r="E59" s="3">
        <v>17.0</v>
      </c>
    </row>
    <row r="60" ht="15.75" customHeight="1">
      <c r="A60" s="2">
        <v>45666.0</v>
      </c>
      <c r="B60" s="3" t="s">
        <v>11</v>
      </c>
      <c r="C60" s="3">
        <v>2.0</v>
      </c>
      <c r="D60" s="3" t="s">
        <v>8</v>
      </c>
      <c r="E60" s="3">
        <v>11.0</v>
      </c>
    </row>
    <row r="61" ht="15.75" customHeight="1">
      <c r="A61" s="2">
        <v>45678.0</v>
      </c>
      <c r="B61" s="3" t="s">
        <v>9</v>
      </c>
      <c r="C61" s="3">
        <v>2.0</v>
      </c>
      <c r="D61" s="3" t="s">
        <v>6</v>
      </c>
      <c r="E61" s="3">
        <v>16.0</v>
      </c>
    </row>
    <row r="62" ht="15.75" customHeight="1">
      <c r="A62" s="2">
        <v>45659.0</v>
      </c>
      <c r="B62" s="3" t="s">
        <v>7</v>
      </c>
      <c r="C62" s="3">
        <v>4.0</v>
      </c>
      <c r="D62" s="3" t="s">
        <v>8</v>
      </c>
      <c r="E62" s="3">
        <v>43.0</v>
      </c>
    </row>
    <row r="63" ht="15.75" customHeight="1">
      <c r="A63" s="2">
        <v>45661.0</v>
      </c>
      <c r="B63" s="3" t="s">
        <v>9</v>
      </c>
      <c r="C63" s="3">
        <v>2.0</v>
      </c>
      <c r="D63" s="3" t="s">
        <v>6</v>
      </c>
      <c r="E63" s="3">
        <v>28.0</v>
      </c>
    </row>
    <row r="64" ht="15.75" customHeight="1">
      <c r="A64" s="2">
        <v>45669.0</v>
      </c>
      <c r="B64" s="3" t="s">
        <v>11</v>
      </c>
      <c r="C64" s="3">
        <v>4.0</v>
      </c>
      <c r="D64" s="3" t="s">
        <v>6</v>
      </c>
      <c r="E64" s="3">
        <v>41.0</v>
      </c>
    </row>
    <row r="65" ht="15.75" customHeight="1">
      <c r="A65" s="2">
        <v>45663.0</v>
      </c>
      <c r="B65" s="3" t="s">
        <v>11</v>
      </c>
      <c r="C65" s="3">
        <v>3.0</v>
      </c>
      <c r="D65" s="3" t="s">
        <v>6</v>
      </c>
      <c r="E65" s="3">
        <v>16.0</v>
      </c>
    </row>
    <row r="66" ht="15.75" customHeight="1">
      <c r="A66" s="2">
        <v>45666.0</v>
      </c>
      <c r="B66" s="3" t="s">
        <v>7</v>
      </c>
      <c r="C66" s="3">
        <v>5.0</v>
      </c>
      <c r="D66" s="3" t="s">
        <v>6</v>
      </c>
      <c r="E66" s="3">
        <v>33.0</v>
      </c>
    </row>
    <row r="67" ht="15.75" customHeight="1">
      <c r="A67" s="2">
        <v>45669.0</v>
      </c>
      <c r="B67" s="3" t="s">
        <v>7</v>
      </c>
      <c r="C67" s="3">
        <v>5.0</v>
      </c>
      <c r="D67" s="3" t="s">
        <v>8</v>
      </c>
      <c r="E67" s="3">
        <v>17.0</v>
      </c>
    </row>
    <row r="68" ht="15.75" customHeight="1">
      <c r="A68" s="2">
        <v>45679.0</v>
      </c>
      <c r="B68" s="3" t="s">
        <v>11</v>
      </c>
      <c r="C68" s="3">
        <v>5.0</v>
      </c>
      <c r="D68" s="3" t="s">
        <v>6</v>
      </c>
      <c r="E68" s="3">
        <v>33.0</v>
      </c>
    </row>
    <row r="69" ht="15.75" customHeight="1">
      <c r="A69" s="2">
        <v>45671.0</v>
      </c>
      <c r="B69" s="3" t="s">
        <v>11</v>
      </c>
      <c r="C69" s="3">
        <v>1.0</v>
      </c>
      <c r="D69" s="3" t="s">
        <v>6</v>
      </c>
      <c r="E69" s="3">
        <v>15.0</v>
      </c>
    </row>
    <row r="70" ht="15.75" customHeight="1">
      <c r="A70" s="2">
        <v>45687.0</v>
      </c>
      <c r="B70" s="3" t="s">
        <v>10</v>
      </c>
      <c r="C70" s="3">
        <v>4.0</v>
      </c>
      <c r="D70" s="3" t="s">
        <v>6</v>
      </c>
      <c r="E70" s="3">
        <v>8.0</v>
      </c>
    </row>
    <row r="71" ht="15.75" customHeight="1">
      <c r="A71" s="2">
        <v>45677.0</v>
      </c>
      <c r="B71" s="3" t="s">
        <v>7</v>
      </c>
      <c r="C71" s="3">
        <v>1.0</v>
      </c>
      <c r="D71" s="3" t="s">
        <v>6</v>
      </c>
      <c r="E71" s="3">
        <v>36.0</v>
      </c>
    </row>
    <row r="72" ht="15.75" customHeight="1">
      <c r="A72" s="2">
        <v>45680.0</v>
      </c>
      <c r="B72" s="3" t="s">
        <v>9</v>
      </c>
      <c r="C72" s="3">
        <v>2.0</v>
      </c>
      <c r="D72" s="3" t="s">
        <v>6</v>
      </c>
      <c r="E72" s="3">
        <v>14.0</v>
      </c>
    </row>
    <row r="73" ht="15.75" customHeight="1">
      <c r="A73" s="2">
        <v>45668.0</v>
      </c>
      <c r="B73" s="3" t="s">
        <v>9</v>
      </c>
      <c r="C73" s="3">
        <v>5.0</v>
      </c>
      <c r="D73" s="3" t="s">
        <v>8</v>
      </c>
      <c r="E73" s="3">
        <v>34.0</v>
      </c>
    </row>
    <row r="74" ht="15.75" customHeight="1">
      <c r="A74" s="2">
        <v>45671.0</v>
      </c>
      <c r="B74" s="3" t="s">
        <v>10</v>
      </c>
      <c r="C74" s="3">
        <v>2.0</v>
      </c>
      <c r="D74" s="3" t="s">
        <v>6</v>
      </c>
      <c r="E74" s="3">
        <v>11.0</v>
      </c>
    </row>
    <row r="75" ht="15.75" customHeight="1">
      <c r="A75" s="2">
        <v>45663.0</v>
      </c>
      <c r="B75" s="3" t="s">
        <v>5</v>
      </c>
      <c r="C75" s="3">
        <v>1.0</v>
      </c>
      <c r="D75" s="3" t="s">
        <v>8</v>
      </c>
      <c r="E75" s="3">
        <v>15.0</v>
      </c>
    </row>
    <row r="76" ht="15.75" customHeight="1">
      <c r="A76" s="2">
        <v>45687.0</v>
      </c>
      <c r="B76" s="3" t="s">
        <v>5</v>
      </c>
      <c r="C76" s="3">
        <v>3.0</v>
      </c>
      <c r="D76" s="3" t="s">
        <v>6</v>
      </c>
      <c r="E76" s="3">
        <v>6.0</v>
      </c>
    </row>
    <row r="77" ht="15.75" customHeight="1">
      <c r="A77" s="2">
        <v>45661.0</v>
      </c>
      <c r="B77" s="3" t="s">
        <v>10</v>
      </c>
      <c r="C77" s="3">
        <v>5.0</v>
      </c>
      <c r="D77" s="3" t="s">
        <v>6</v>
      </c>
      <c r="E77" s="3">
        <v>13.0</v>
      </c>
    </row>
    <row r="78" ht="15.75" customHeight="1">
      <c r="A78" s="2">
        <v>45668.0</v>
      </c>
      <c r="B78" s="3" t="s">
        <v>9</v>
      </c>
      <c r="C78" s="3">
        <v>5.0</v>
      </c>
      <c r="D78" s="3" t="s">
        <v>6</v>
      </c>
      <c r="E78" s="3">
        <v>15.0</v>
      </c>
    </row>
    <row r="79" ht="15.75" customHeight="1">
      <c r="A79" s="2">
        <v>45683.0</v>
      </c>
      <c r="B79" s="3" t="s">
        <v>9</v>
      </c>
      <c r="C79" s="3">
        <v>2.0</v>
      </c>
      <c r="D79" s="3" t="s">
        <v>6</v>
      </c>
      <c r="E79" s="3">
        <v>43.0</v>
      </c>
    </row>
    <row r="80" ht="15.75" customHeight="1">
      <c r="A80" s="2">
        <v>45679.0</v>
      </c>
      <c r="B80" s="3" t="s">
        <v>11</v>
      </c>
      <c r="C80" s="3">
        <v>4.0</v>
      </c>
      <c r="D80" s="3" t="s">
        <v>6</v>
      </c>
      <c r="E80" s="3">
        <v>19.0</v>
      </c>
    </row>
    <row r="81" ht="15.75" customHeight="1">
      <c r="A81" s="2">
        <v>45666.0</v>
      </c>
      <c r="B81" s="3" t="s">
        <v>11</v>
      </c>
      <c r="C81" s="3">
        <v>2.0</v>
      </c>
      <c r="D81" s="3" t="s">
        <v>6</v>
      </c>
      <c r="E81" s="3">
        <v>45.0</v>
      </c>
    </row>
    <row r="82" ht="15.75" customHeight="1">
      <c r="A82" s="2">
        <v>45671.0</v>
      </c>
      <c r="B82" s="3" t="s">
        <v>10</v>
      </c>
      <c r="C82" s="3">
        <v>4.0</v>
      </c>
      <c r="D82" s="3" t="s">
        <v>6</v>
      </c>
      <c r="E82" s="3">
        <v>33.0</v>
      </c>
    </row>
    <row r="83" ht="15.75" customHeight="1">
      <c r="A83" s="2">
        <v>45658.0</v>
      </c>
      <c r="B83" s="3" t="s">
        <v>10</v>
      </c>
      <c r="C83" s="3">
        <v>3.0</v>
      </c>
      <c r="D83" s="3" t="s">
        <v>6</v>
      </c>
      <c r="E83" s="3">
        <v>33.0</v>
      </c>
    </row>
    <row r="84" ht="15.75" customHeight="1">
      <c r="A84" s="2">
        <v>45667.0</v>
      </c>
      <c r="B84" s="3" t="s">
        <v>11</v>
      </c>
      <c r="C84" s="3">
        <v>1.0</v>
      </c>
      <c r="D84" s="3" t="s">
        <v>8</v>
      </c>
      <c r="E84" s="3">
        <v>18.0</v>
      </c>
    </row>
    <row r="85" ht="15.75" customHeight="1">
      <c r="A85" s="2">
        <v>45670.0</v>
      </c>
      <c r="B85" s="3" t="s">
        <v>7</v>
      </c>
      <c r="C85" s="3">
        <v>2.0</v>
      </c>
      <c r="D85" s="3" t="s">
        <v>6</v>
      </c>
      <c r="E85" s="3">
        <v>25.0</v>
      </c>
    </row>
    <row r="86" ht="15.75" customHeight="1">
      <c r="A86" s="2">
        <v>45674.0</v>
      </c>
      <c r="B86" s="3" t="s">
        <v>7</v>
      </c>
      <c r="C86" s="3">
        <v>4.0</v>
      </c>
      <c r="D86" s="3" t="s">
        <v>6</v>
      </c>
      <c r="E86" s="3">
        <v>17.0</v>
      </c>
    </row>
    <row r="87" ht="15.75" customHeight="1">
      <c r="A87" s="2">
        <v>45674.0</v>
      </c>
      <c r="B87" s="3" t="s">
        <v>7</v>
      </c>
      <c r="C87" s="3">
        <v>1.0</v>
      </c>
      <c r="D87" s="3" t="s">
        <v>6</v>
      </c>
      <c r="E87" s="3">
        <v>19.0</v>
      </c>
    </row>
    <row r="88" ht="15.75" customHeight="1">
      <c r="A88" s="2">
        <v>45667.0</v>
      </c>
      <c r="B88" s="3" t="s">
        <v>11</v>
      </c>
      <c r="C88" s="3">
        <v>3.0</v>
      </c>
      <c r="D88" s="3" t="s">
        <v>6</v>
      </c>
      <c r="E88" s="3">
        <v>42.0</v>
      </c>
    </row>
    <row r="89" ht="15.75" customHeight="1">
      <c r="A89" s="2">
        <v>45659.0</v>
      </c>
      <c r="B89" s="3" t="s">
        <v>10</v>
      </c>
      <c r="C89" s="3">
        <v>4.0</v>
      </c>
      <c r="D89" s="3" t="s">
        <v>6</v>
      </c>
      <c r="E89" s="3">
        <v>36.0</v>
      </c>
    </row>
    <row r="90" ht="15.75" customHeight="1">
      <c r="A90" s="2">
        <v>45670.0</v>
      </c>
      <c r="B90" s="3" t="s">
        <v>7</v>
      </c>
      <c r="C90" s="3">
        <v>4.0</v>
      </c>
      <c r="D90" s="3" t="s">
        <v>6</v>
      </c>
      <c r="E90" s="3">
        <v>2.0</v>
      </c>
    </row>
    <row r="91" ht="15.75" customHeight="1">
      <c r="A91" s="2">
        <v>45662.0</v>
      </c>
      <c r="B91" s="3" t="s">
        <v>9</v>
      </c>
      <c r="C91" s="3">
        <v>5.0</v>
      </c>
      <c r="D91" s="3" t="s">
        <v>6</v>
      </c>
      <c r="E91" s="3">
        <v>8.0</v>
      </c>
    </row>
    <row r="92" ht="15.75" customHeight="1">
      <c r="A92" s="2">
        <v>45663.0</v>
      </c>
      <c r="B92" s="3" t="s">
        <v>11</v>
      </c>
      <c r="C92" s="3">
        <v>5.0</v>
      </c>
      <c r="D92" s="3" t="s">
        <v>8</v>
      </c>
      <c r="E92" s="3">
        <v>31.0</v>
      </c>
    </row>
    <row r="93" ht="15.75" customHeight="1">
      <c r="A93" s="2">
        <v>45669.0</v>
      </c>
      <c r="B93" s="3" t="s">
        <v>7</v>
      </c>
      <c r="C93" s="3">
        <v>4.0</v>
      </c>
      <c r="D93" s="3" t="s">
        <v>6</v>
      </c>
      <c r="E93" s="3">
        <v>24.0</v>
      </c>
    </row>
    <row r="94" ht="15.75" customHeight="1">
      <c r="A94" s="2">
        <v>45680.0</v>
      </c>
      <c r="B94" s="3" t="s">
        <v>10</v>
      </c>
      <c r="C94" s="3">
        <v>2.0</v>
      </c>
      <c r="D94" s="3" t="s">
        <v>6</v>
      </c>
      <c r="E94" s="3">
        <v>18.0</v>
      </c>
    </row>
    <row r="95" ht="15.75" customHeight="1">
      <c r="A95" s="2">
        <v>45682.0</v>
      </c>
      <c r="B95" s="3" t="s">
        <v>5</v>
      </c>
      <c r="C95" s="3">
        <v>2.0</v>
      </c>
      <c r="D95" s="3" t="s">
        <v>6</v>
      </c>
      <c r="E95" s="3">
        <v>34.0</v>
      </c>
    </row>
    <row r="96" ht="15.75" customHeight="1">
      <c r="A96" s="2">
        <v>45661.0</v>
      </c>
      <c r="B96" s="3" t="s">
        <v>7</v>
      </c>
      <c r="C96" s="3">
        <v>3.0</v>
      </c>
      <c r="D96" s="3" t="s">
        <v>6</v>
      </c>
      <c r="E96" s="3">
        <v>6.0</v>
      </c>
    </row>
    <row r="97" ht="15.75" customHeight="1">
      <c r="A97" s="2">
        <v>45665.0</v>
      </c>
      <c r="B97" s="3" t="s">
        <v>11</v>
      </c>
      <c r="C97" s="3">
        <v>1.0</v>
      </c>
      <c r="D97" s="3" t="s">
        <v>6</v>
      </c>
      <c r="E97" s="3">
        <v>43.0</v>
      </c>
    </row>
    <row r="98" ht="15.75" customHeight="1">
      <c r="A98" s="2">
        <v>45687.0</v>
      </c>
      <c r="B98" s="3" t="s">
        <v>5</v>
      </c>
      <c r="C98" s="3">
        <v>3.0</v>
      </c>
      <c r="D98" s="3" t="s">
        <v>8</v>
      </c>
      <c r="E98" s="3">
        <v>6.0</v>
      </c>
    </row>
    <row r="99" ht="15.75" customHeight="1">
      <c r="A99" s="2">
        <v>45680.0</v>
      </c>
      <c r="B99" s="3" t="s">
        <v>11</v>
      </c>
      <c r="C99" s="3">
        <v>1.0</v>
      </c>
      <c r="D99" s="3" t="s">
        <v>6</v>
      </c>
      <c r="E99" s="3">
        <v>39.0</v>
      </c>
    </row>
    <row r="100" ht="15.75" customHeight="1">
      <c r="A100" s="2">
        <v>45663.0</v>
      </c>
      <c r="B100" s="3" t="s">
        <v>11</v>
      </c>
      <c r="C100" s="3">
        <v>1.0</v>
      </c>
      <c r="D100" s="3" t="s">
        <v>6</v>
      </c>
      <c r="E100" s="3">
        <v>7.0</v>
      </c>
    </row>
    <row r="101" ht="15.75" customHeight="1">
      <c r="A101" s="2">
        <v>45679.0</v>
      </c>
      <c r="B101" s="3" t="s">
        <v>11</v>
      </c>
      <c r="C101" s="3">
        <v>3.0</v>
      </c>
      <c r="D101" s="3" t="s">
        <v>6</v>
      </c>
      <c r="E101" s="3">
        <v>39.0</v>
      </c>
    </row>
    <row r="102" ht="15.75" customHeight="1">
      <c r="A102" s="2">
        <v>45668.0</v>
      </c>
      <c r="B102" s="3" t="s">
        <v>9</v>
      </c>
      <c r="C102" s="3">
        <v>5.0</v>
      </c>
      <c r="D102" s="3" t="s">
        <v>6</v>
      </c>
      <c r="E102" s="3">
        <v>16.0</v>
      </c>
    </row>
    <row r="103" ht="15.75" customHeight="1">
      <c r="A103" s="2">
        <v>45686.0</v>
      </c>
      <c r="B103" s="3" t="s">
        <v>9</v>
      </c>
      <c r="C103" s="3">
        <v>1.0</v>
      </c>
      <c r="D103" s="3" t="s">
        <v>8</v>
      </c>
      <c r="E103" s="3">
        <v>6.0</v>
      </c>
    </row>
    <row r="104" ht="15.75" customHeight="1">
      <c r="A104" s="2">
        <v>45674.0</v>
      </c>
      <c r="B104" s="3" t="s">
        <v>7</v>
      </c>
      <c r="C104" s="3">
        <v>3.0</v>
      </c>
      <c r="D104" s="3" t="s">
        <v>6</v>
      </c>
      <c r="E104" s="3">
        <v>12.0</v>
      </c>
    </row>
    <row r="105" ht="15.75" customHeight="1">
      <c r="A105" s="2">
        <v>45685.0</v>
      </c>
      <c r="B105" s="3" t="s">
        <v>5</v>
      </c>
      <c r="C105" s="3">
        <v>5.0</v>
      </c>
      <c r="D105" s="3" t="s">
        <v>8</v>
      </c>
      <c r="E105" s="3">
        <v>28.0</v>
      </c>
    </row>
    <row r="106" ht="15.75" customHeight="1">
      <c r="A106" s="2">
        <v>45671.0</v>
      </c>
      <c r="B106" s="3" t="s">
        <v>9</v>
      </c>
      <c r="C106" s="3">
        <v>3.0</v>
      </c>
      <c r="D106" s="3" t="s">
        <v>6</v>
      </c>
      <c r="E106" s="3">
        <v>45.0</v>
      </c>
    </row>
    <row r="107" ht="15.75" customHeight="1">
      <c r="A107" s="2">
        <v>45686.0</v>
      </c>
      <c r="B107" s="3" t="s">
        <v>10</v>
      </c>
      <c r="C107" s="3">
        <v>4.0</v>
      </c>
      <c r="D107" s="3" t="s">
        <v>8</v>
      </c>
      <c r="E107" s="3">
        <v>6.0</v>
      </c>
    </row>
    <row r="108" ht="15.75" customHeight="1">
      <c r="A108" s="2">
        <v>45663.0</v>
      </c>
      <c r="B108" s="3" t="s">
        <v>7</v>
      </c>
      <c r="C108" s="3">
        <v>4.0</v>
      </c>
      <c r="D108" s="3" t="s">
        <v>6</v>
      </c>
      <c r="E108" s="3">
        <v>44.0</v>
      </c>
    </row>
    <row r="109" ht="15.75" customHeight="1">
      <c r="A109" s="2">
        <v>45675.0</v>
      </c>
      <c r="B109" s="3" t="s">
        <v>10</v>
      </c>
      <c r="C109" s="3">
        <v>2.0</v>
      </c>
      <c r="D109" s="3" t="s">
        <v>6</v>
      </c>
      <c r="E109" s="3">
        <v>17.0</v>
      </c>
    </row>
    <row r="110" ht="15.75" customHeight="1">
      <c r="A110" s="2">
        <v>45664.0</v>
      </c>
      <c r="B110" s="3" t="s">
        <v>10</v>
      </c>
      <c r="C110" s="3">
        <v>4.0</v>
      </c>
      <c r="D110" s="3" t="s">
        <v>6</v>
      </c>
      <c r="E110" s="3">
        <v>2.0</v>
      </c>
    </row>
    <row r="111" ht="15.75" customHeight="1">
      <c r="A111" s="2">
        <v>45683.0</v>
      </c>
      <c r="B111" s="3" t="s">
        <v>11</v>
      </c>
      <c r="C111" s="3">
        <v>5.0</v>
      </c>
      <c r="D111" s="3" t="s">
        <v>6</v>
      </c>
      <c r="E111" s="3">
        <v>42.0</v>
      </c>
    </row>
    <row r="112" ht="15.75" customHeight="1">
      <c r="A112" s="2">
        <v>45671.0</v>
      </c>
      <c r="B112" s="3" t="s">
        <v>10</v>
      </c>
      <c r="C112" s="3">
        <v>2.0</v>
      </c>
      <c r="D112" s="3" t="s">
        <v>8</v>
      </c>
      <c r="E112" s="3">
        <v>9.0</v>
      </c>
    </row>
    <row r="113" ht="15.75" customHeight="1">
      <c r="A113" s="2">
        <v>45682.0</v>
      </c>
      <c r="B113" s="3" t="s">
        <v>5</v>
      </c>
      <c r="C113" s="3">
        <v>4.0</v>
      </c>
      <c r="D113" s="3" t="s">
        <v>8</v>
      </c>
      <c r="E113" s="3">
        <v>30.0</v>
      </c>
    </row>
    <row r="114" ht="15.75" customHeight="1">
      <c r="A114" s="2">
        <v>45660.0</v>
      </c>
      <c r="B114" s="3" t="s">
        <v>10</v>
      </c>
      <c r="C114" s="3">
        <v>1.0</v>
      </c>
      <c r="D114" s="3" t="s">
        <v>6</v>
      </c>
      <c r="E114" s="3">
        <v>37.0</v>
      </c>
    </row>
    <row r="115" ht="15.75" customHeight="1">
      <c r="A115" s="2">
        <v>45659.0</v>
      </c>
      <c r="B115" s="3" t="s">
        <v>11</v>
      </c>
      <c r="C115" s="3">
        <v>1.0</v>
      </c>
      <c r="D115" s="3" t="s">
        <v>6</v>
      </c>
      <c r="E115" s="3">
        <v>14.0</v>
      </c>
    </row>
    <row r="116" ht="15.75" customHeight="1">
      <c r="A116" s="2">
        <v>45671.0</v>
      </c>
      <c r="B116" s="3" t="s">
        <v>10</v>
      </c>
      <c r="C116" s="3">
        <v>3.0</v>
      </c>
      <c r="D116" s="3" t="s">
        <v>6</v>
      </c>
      <c r="E116" s="3">
        <v>21.0</v>
      </c>
    </row>
    <row r="117" ht="15.75" customHeight="1">
      <c r="A117" s="2">
        <v>45661.0</v>
      </c>
      <c r="B117" s="3" t="s">
        <v>11</v>
      </c>
      <c r="C117" s="3">
        <v>4.0</v>
      </c>
      <c r="D117" s="3" t="s">
        <v>6</v>
      </c>
      <c r="E117" s="3">
        <v>34.0</v>
      </c>
    </row>
    <row r="118" ht="15.75" customHeight="1">
      <c r="A118" s="2">
        <v>45662.0</v>
      </c>
      <c r="B118" s="3" t="s">
        <v>11</v>
      </c>
      <c r="C118" s="3">
        <v>3.0</v>
      </c>
      <c r="D118" s="3" t="s">
        <v>6</v>
      </c>
      <c r="E118" s="3">
        <v>43.0</v>
      </c>
    </row>
    <row r="119" ht="15.75" customHeight="1">
      <c r="A119" s="2">
        <v>45673.0</v>
      </c>
      <c r="B119" s="3" t="s">
        <v>5</v>
      </c>
      <c r="C119" s="3">
        <v>2.0</v>
      </c>
      <c r="D119" s="3" t="s">
        <v>6</v>
      </c>
      <c r="E119" s="3">
        <v>18.0</v>
      </c>
    </row>
    <row r="120" ht="15.75" customHeight="1">
      <c r="A120" s="2">
        <v>45665.0</v>
      </c>
      <c r="B120" s="3" t="s">
        <v>7</v>
      </c>
      <c r="C120" s="3">
        <v>2.0</v>
      </c>
      <c r="D120" s="3" t="s">
        <v>8</v>
      </c>
      <c r="E120" s="3">
        <v>10.0</v>
      </c>
    </row>
    <row r="121" ht="15.75" customHeight="1">
      <c r="A121" s="2">
        <v>45660.0</v>
      </c>
      <c r="B121" s="3" t="s">
        <v>10</v>
      </c>
      <c r="C121" s="3">
        <v>4.0</v>
      </c>
      <c r="D121" s="3" t="s">
        <v>6</v>
      </c>
      <c r="E121" s="3">
        <v>43.0</v>
      </c>
    </row>
    <row r="122" ht="15.75" customHeight="1">
      <c r="A122" s="2">
        <v>45684.0</v>
      </c>
      <c r="B122" s="3" t="s">
        <v>5</v>
      </c>
      <c r="C122" s="3">
        <v>2.0</v>
      </c>
      <c r="D122" s="3" t="s">
        <v>6</v>
      </c>
      <c r="E122" s="3">
        <v>6.0</v>
      </c>
    </row>
    <row r="123" ht="15.75" customHeight="1">
      <c r="A123" s="2">
        <v>45669.0</v>
      </c>
      <c r="B123" s="3" t="s">
        <v>11</v>
      </c>
      <c r="C123" s="3">
        <v>3.0</v>
      </c>
      <c r="D123" s="3" t="s">
        <v>6</v>
      </c>
      <c r="E123" s="3">
        <v>6.0</v>
      </c>
    </row>
    <row r="124" ht="15.75" customHeight="1">
      <c r="A124" s="2">
        <v>45664.0</v>
      </c>
      <c r="B124" s="3" t="s">
        <v>9</v>
      </c>
      <c r="C124" s="3">
        <v>4.0</v>
      </c>
      <c r="D124" s="3" t="s">
        <v>8</v>
      </c>
      <c r="E124" s="3">
        <v>43.0</v>
      </c>
    </row>
    <row r="125" ht="15.75" customHeight="1">
      <c r="A125" s="2">
        <v>45664.0</v>
      </c>
      <c r="B125" s="3" t="s">
        <v>9</v>
      </c>
      <c r="C125" s="3">
        <v>5.0</v>
      </c>
      <c r="D125" s="3" t="s">
        <v>6</v>
      </c>
      <c r="E125" s="3">
        <v>31.0</v>
      </c>
    </row>
    <row r="126" ht="15.75" customHeight="1">
      <c r="A126" s="2">
        <v>45673.0</v>
      </c>
      <c r="B126" s="3" t="s">
        <v>5</v>
      </c>
      <c r="C126" s="3">
        <v>4.0</v>
      </c>
      <c r="D126" s="3" t="s">
        <v>6</v>
      </c>
      <c r="E126" s="3">
        <v>36.0</v>
      </c>
    </row>
    <row r="127" ht="15.75" customHeight="1">
      <c r="A127" s="2">
        <v>45679.0</v>
      </c>
      <c r="B127" s="3" t="s">
        <v>9</v>
      </c>
      <c r="C127" s="3">
        <v>3.0</v>
      </c>
      <c r="D127" s="3" t="s">
        <v>8</v>
      </c>
      <c r="E127" s="3">
        <v>17.0</v>
      </c>
    </row>
    <row r="128" ht="15.75" customHeight="1">
      <c r="A128" s="2">
        <v>45686.0</v>
      </c>
      <c r="B128" s="3" t="s">
        <v>5</v>
      </c>
      <c r="C128" s="3">
        <v>5.0</v>
      </c>
      <c r="D128" s="3" t="s">
        <v>6</v>
      </c>
      <c r="E128" s="3">
        <v>44.0</v>
      </c>
    </row>
    <row r="129" ht="15.75" customHeight="1">
      <c r="A129" s="2">
        <v>45664.0</v>
      </c>
      <c r="B129" s="3" t="s">
        <v>9</v>
      </c>
      <c r="C129" s="3">
        <v>2.0</v>
      </c>
      <c r="D129" s="3" t="s">
        <v>6</v>
      </c>
      <c r="E129" s="3">
        <v>4.0</v>
      </c>
    </row>
    <row r="130" ht="15.75" customHeight="1">
      <c r="A130" s="2">
        <v>45667.0</v>
      </c>
      <c r="B130" s="3" t="s">
        <v>11</v>
      </c>
      <c r="C130" s="3">
        <v>2.0</v>
      </c>
      <c r="D130" s="3" t="s">
        <v>6</v>
      </c>
      <c r="E130" s="3">
        <v>39.0</v>
      </c>
    </row>
    <row r="131" ht="15.75" customHeight="1">
      <c r="A131" s="2">
        <v>45682.0</v>
      </c>
      <c r="B131" s="3" t="s">
        <v>10</v>
      </c>
      <c r="C131" s="3">
        <v>4.0</v>
      </c>
      <c r="D131" s="3" t="s">
        <v>6</v>
      </c>
      <c r="E131" s="3">
        <v>12.0</v>
      </c>
    </row>
    <row r="132" ht="15.75" customHeight="1">
      <c r="A132" s="2">
        <v>45681.0</v>
      </c>
      <c r="B132" s="3" t="s">
        <v>7</v>
      </c>
      <c r="C132" s="3">
        <v>5.0</v>
      </c>
      <c r="D132" s="3" t="s">
        <v>6</v>
      </c>
      <c r="E132" s="3">
        <v>42.0</v>
      </c>
    </row>
    <row r="133" ht="15.75" customHeight="1">
      <c r="A133" s="2">
        <v>45667.0</v>
      </c>
      <c r="B133" s="3" t="s">
        <v>11</v>
      </c>
      <c r="C133" s="3">
        <v>4.0</v>
      </c>
      <c r="D133" s="3" t="s">
        <v>8</v>
      </c>
      <c r="E133" s="3">
        <v>43.0</v>
      </c>
    </row>
    <row r="134" ht="15.75" customHeight="1">
      <c r="A134" s="2">
        <v>45685.0</v>
      </c>
      <c r="B134" s="3" t="s">
        <v>10</v>
      </c>
      <c r="C134" s="3">
        <v>5.0</v>
      </c>
      <c r="D134" s="3" t="s">
        <v>6</v>
      </c>
      <c r="E134" s="3">
        <v>32.0</v>
      </c>
    </row>
    <row r="135" ht="15.75" customHeight="1">
      <c r="A135" s="2">
        <v>45666.0</v>
      </c>
      <c r="B135" s="3" t="s">
        <v>10</v>
      </c>
      <c r="C135" s="3">
        <v>2.0</v>
      </c>
      <c r="D135" s="3" t="s">
        <v>6</v>
      </c>
      <c r="E135" s="3">
        <v>29.0</v>
      </c>
    </row>
    <row r="136" ht="15.75" customHeight="1">
      <c r="A136" s="2">
        <v>45684.0</v>
      </c>
      <c r="B136" s="3" t="s">
        <v>10</v>
      </c>
      <c r="C136" s="3">
        <v>1.0</v>
      </c>
      <c r="D136" s="3" t="s">
        <v>6</v>
      </c>
      <c r="E136" s="3">
        <v>6.0</v>
      </c>
    </row>
    <row r="137" ht="15.75" customHeight="1">
      <c r="A137" s="2">
        <v>45661.0</v>
      </c>
      <c r="B137" s="3" t="s">
        <v>7</v>
      </c>
      <c r="C137" s="3">
        <v>1.0</v>
      </c>
      <c r="D137" s="3" t="s">
        <v>6</v>
      </c>
      <c r="E137" s="3">
        <v>8.0</v>
      </c>
    </row>
    <row r="138" ht="15.75" customHeight="1">
      <c r="A138" s="2">
        <v>45684.0</v>
      </c>
      <c r="B138" s="3" t="s">
        <v>11</v>
      </c>
      <c r="C138" s="3">
        <v>4.0</v>
      </c>
      <c r="D138" s="3" t="s">
        <v>6</v>
      </c>
      <c r="E138" s="3">
        <v>12.0</v>
      </c>
    </row>
    <row r="139" ht="15.75" customHeight="1">
      <c r="A139" s="2">
        <v>45666.0</v>
      </c>
      <c r="B139" s="3" t="s">
        <v>9</v>
      </c>
      <c r="C139" s="3">
        <v>2.0</v>
      </c>
      <c r="D139" s="3" t="s">
        <v>6</v>
      </c>
      <c r="E139" s="3">
        <v>12.0</v>
      </c>
    </row>
    <row r="140" ht="15.75" customHeight="1">
      <c r="A140" s="2">
        <v>45659.0</v>
      </c>
      <c r="B140" s="3" t="s">
        <v>9</v>
      </c>
      <c r="C140" s="3">
        <v>1.0</v>
      </c>
      <c r="D140" s="3" t="s">
        <v>8</v>
      </c>
      <c r="E140" s="3">
        <v>8.0</v>
      </c>
    </row>
    <row r="141" ht="15.75" customHeight="1">
      <c r="A141" s="2">
        <v>45679.0</v>
      </c>
      <c r="B141" s="3" t="s">
        <v>7</v>
      </c>
      <c r="C141" s="3">
        <v>5.0</v>
      </c>
      <c r="D141" s="3" t="s">
        <v>8</v>
      </c>
      <c r="E141" s="3">
        <v>44.0</v>
      </c>
    </row>
    <row r="142" ht="15.75" customHeight="1">
      <c r="A142" s="2">
        <v>45685.0</v>
      </c>
      <c r="B142" s="3" t="s">
        <v>11</v>
      </c>
      <c r="C142" s="3">
        <v>4.0</v>
      </c>
      <c r="D142" s="3" t="s">
        <v>6</v>
      </c>
      <c r="E142" s="3">
        <v>32.0</v>
      </c>
    </row>
    <row r="143" ht="15.75" customHeight="1">
      <c r="A143" s="2">
        <v>45658.0</v>
      </c>
      <c r="B143" s="3" t="s">
        <v>9</v>
      </c>
      <c r="C143" s="3">
        <v>3.0</v>
      </c>
      <c r="D143" s="3" t="s">
        <v>6</v>
      </c>
      <c r="E143" s="3">
        <v>3.0</v>
      </c>
    </row>
    <row r="144" ht="15.75" customHeight="1">
      <c r="A144" s="2">
        <v>45682.0</v>
      </c>
      <c r="B144" s="3" t="s">
        <v>5</v>
      </c>
      <c r="C144" s="3">
        <v>2.0</v>
      </c>
      <c r="D144" s="3" t="s">
        <v>6</v>
      </c>
      <c r="E144" s="3">
        <v>27.0</v>
      </c>
    </row>
    <row r="145" ht="15.75" customHeight="1">
      <c r="A145" s="2">
        <v>45665.0</v>
      </c>
      <c r="B145" s="3" t="s">
        <v>5</v>
      </c>
      <c r="C145" s="3">
        <v>2.0</v>
      </c>
      <c r="D145" s="3" t="s">
        <v>6</v>
      </c>
      <c r="E145" s="3">
        <v>31.0</v>
      </c>
    </row>
    <row r="146" ht="15.75" customHeight="1">
      <c r="A146" s="2">
        <v>45676.0</v>
      </c>
      <c r="B146" s="3" t="s">
        <v>7</v>
      </c>
      <c r="C146" s="3">
        <v>1.0</v>
      </c>
      <c r="D146" s="3" t="s">
        <v>6</v>
      </c>
      <c r="E146" s="3">
        <v>45.0</v>
      </c>
    </row>
    <row r="147" ht="15.75" customHeight="1">
      <c r="A147" s="2">
        <v>45668.0</v>
      </c>
      <c r="B147" s="3" t="s">
        <v>7</v>
      </c>
      <c r="C147" s="3">
        <v>4.0</v>
      </c>
      <c r="D147" s="3" t="s">
        <v>6</v>
      </c>
      <c r="E147" s="3">
        <v>37.0</v>
      </c>
    </row>
    <row r="148" ht="15.75" customHeight="1">
      <c r="A148" s="2">
        <v>45685.0</v>
      </c>
      <c r="B148" s="3" t="s">
        <v>11</v>
      </c>
      <c r="C148" s="3">
        <v>4.0</v>
      </c>
      <c r="D148" s="3" t="s">
        <v>6</v>
      </c>
      <c r="E148" s="3">
        <v>42.0</v>
      </c>
    </row>
    <row r="149" ht="15.75" customHeight="1">
      <c r="A149" s="2">
        <v>45669.0</v>
      </c>
      <c r="B149" s="3" t="s">
        <v>10</v>
      </c>
      <c r="C149" s="3">
        <v>5.0</v>
      </c>
      <c r="D149" s="3" t="s">
        <v>6</v>
      </c>
      <c r="E149" s="3">
        <v>42.0</v>
      </c>
    </row>
    <row r="150" ht="15.75" customHeight="1">
      <c r="A150" s="2">
        <v>45673.0</v>
      </c>
      <c r="B150" s="3" t="s">
        <v>10</v>
      </c>
      <c r="C150" s="3">
        <v>1.0</v>
      </c>
      <c r="D150" s="3" t="s">
        <v>6</v>
      </c>
      <c r="E150" s="3">
        <v>26.0</v>
      </c>
    </row>
    <row r="151" ht="15.75" customHeight="1">
      <c r="A151" s="2">
        <v>45658.0</v>
      </c>
      <c r="B151" s="3" t="s">
        <v>11</v>
      </c>
      <c r="C151" s="3">
        <v>5.0</v>
      </c>
      <c r="D151" s="3" t="s">
        <v>6</v>
      </c>
      <c r="E151" s="3">
        <v>7.0</v>
      </c>
    </row>
    <row r="152" ht="15.75" customHeight="1">
      <c r="A152" s="2">
        <v>45666.0</v>
      </c>
      <c r="B152" s="3" t="s">
        <v>9</v>
      </c>
      <c r="C152" s="3">
        <v>2.0</v>
      </c>
      <c r="D152" s="3" t="s">
        <v>6</v>
      </c>
      <c r="E152" s="3">
        <v>5.0</v>
      </c>
    </row>
    <row r="153" ht="15.75" customHeight="1">
      <c r="A153" s="2">
        <v>45676.0</v>
      </c>
      <c r="B153" s="3" t="s">
        <v>10</v>
      </c>
      <c r="C153" s="3">
        <v>5.0</v>
      </c>
      <c r="D153" s="3" t="s">
        <v>6</v>
      </c>
      <c r="E153" s="3">
        <v>13.0</v>
      </c>
    </row>
    <row r="154" ht="15.75" customHeight="1">
      <c r="A154" s="2">
        <v>45661.0</v>
      </c>
      <c r="B154" s="3" t="s">
        <v>7</v>
      </c>
      <c r="C154" s="3">
        <v>3.0</v>
      </c>
      <c r="D154" s="3" t="s">
        <v>6</v>
      </c>
      <c r="E154" s="3">
        <v>13.0</v>
      </c>
    </row>
    <row r="155" ht="15.75" customHeight="1">
      <c r="A155" s="2">
        <v>45665.0</v>
      </c>
      <c r="B155" s="3" t="s">
        <v>5</v>
      </c>
      <c r="C155" s="3">
        <v>1.0</v>
      </c>
      <c r="D155" s="3" t="s">
        <v>6</v>
      </c>
      <c r="E155" s="3">
        <v>20.0</v>
      </c>
    </row>
    <row r="156" ht="15.75" customHeight="1">
      <c r="A156" s="2">
        <v>45664.0</v>
      </c>
      <c r="B156" s="3" t="s">
        <v>11</v>
      </c>
      <c r="C156" s="3">
        <v>2.0</v>
      </c>
      <c r="D156" s="3" t="s">
        <v>6</v>
      </c>
      <c r="E156" s="3">
        <v>35.0</v>
      </c>
    </row>
    <row r="157" ht="15.75" customHeight="1">
      <c r="A157" s="2">
        <v>45679.0</v>
      </c>
      <c r="B157" s="3" t="s">
        <v>9</v>
      </c>
      <c r="C157" s="3">
        <v>3.0</v>
      </c>
      <c r="D157" s="3" t="s">
        <v>6</v>
      </c>
      <c r="E157" s="3">
        <v>40.0</v>
      </c>
    </row>
    <row r="158" ht="15.75" customHeight="1">
      <c r="A158" s="2">
        <v>45678.0</v>
      </c>
      <c r="B158" s="3" t="s">
        <v>9</v>
      </c>
      <c r="C158" s="3">
        <v>5.0</v>
      </c>
      <c r="D158" s="3" t="s">
        <v>6</v>
      </c>
      <c r="E158" s="3">
        <v>43.0</v>
      </c>
    </row>
    <row r="159" ht="15.75" customHeight="1">
      <c r="A159" s="2">
        <v>45680.0</v>
      </c>
      <c r="B159" s="3" t="s">
        <v>11</v>
      </c>
      <c r="C159" s="3">
        <v>5.0</v>
      </c>
      <c r="D159" s="3" t="s">
        <v>6</v>
      </c>
      <c r="E159" s="3">
        <v>36.0</v>
      </c>
    </row>
    <row r="160" ht="15.75" customHeight="1">
      <c r="A160" s="2">
        <v>45671.0</v>
      </c>
      <c r="B160" s="3" t="s">
        <v>5</v>
      </c>
      <c r="C160" s="3">
        <v>3.0</v>
      </c>
      <c r="D160" s="3" t="s">
        <v>6</v>
      </c>
      <c r="E160" s="3">
        <v>42.0</v>
      </c>
    </row>
    <row r="161" ht="15.75" customHeight="1">
      <c r="A161" s="2">
        <v>45674.0</v>
      </c>
      <c r="B161" s="3" t="s">
        <v>9</v>
      </c>
      <c r="C161" s="3">
        <v>4.0</v>
      </c>
      <c r="D161" s="3" t="s">
        <v>6</v>
      </c>
      <c r="E161" s="3">
        <v>28.0</v>
      </c>
    </row>
    <row r="162" ht="15.75" customHeight="1">
      <c r="A162" s="2">
        <v>45661.0</v>
      </c>
      <c r="B162" s="3" t="s">
        <v>10</v>
      </c>
      <c r="C162" s="3">
        <v>3.0</v>
      </c>
      <c r="D162" s="3" t="s">
        <v>8</v>
      </c>
      <c r="E162" s="3">
        <v>7.0</v>
      </c>
    </row>
    <row r="163" ht="15.75" customHeight="1">
      <c r="A163" s="2">
        <v>45683.0</v>
      </c>
      <c r="B163" s="3" t="s">
        <v>5</v>
      </c>
      <c r="C163" s="3">
        <v>2.0</v>
      </c>
      <c r="D163" s="3" t="s">
        <v>6</v>
      </c>
      <c r="E163" s="3">
        <v>32.0</v>
      </c>
    </row>
    <row r="164" ht="15.75" customHeight="1">
      <c r="A164" s="2">
        <v>45659.0</v>
      </c>
      <c r="B164" s="3" t="s">
        <v>7</v>
      </c>
      <c r="C164" s="3">
        <v>5.0</v>
      </c>
      <c r="D164" s="3" t="s">
        <v>8</v>
      </c>
      <c r="E164" s="3">
        <v>12.0</v>
      </c>
    </row>
    <row r="165" ht="15.75" customHeight="1">
      <c r="A165" s="2">
        <v>45681.0</v>
      </c>
      <c r="B165" s="3" t="s">
        <v>9</v>
      </c>
      <c r="C165" s="3">
        <v>1.0</v>
      </c>
      <c r="D165" s="3" t="s">
        <v>6</v>
      </c>
      <c r="E165" s="3">
        <v>38.0</v>
      </c>
    </row>
    <row r="166" ht="15.75" customHeight="1">
      <c r="A166" s="2">
        <v>45658.0</v>
      </c>
      <c r="B166" s="3" t="s">
        <v>11</v>
      </c>
      <c r="C166" s="3">
        <v>2.0</v>
      </c>
      <c r="D166" s="3" t="s">
        <v>8</v>
      </c>
      <c r="E166" s="3">
        <v>45.0</v>
      </c>
    </row>
    <row r="167" ht="15.75" customHeight="1">
      <c r="A167" s="2">
        <v>45666.0</v>
      </c>
      <c r="B167" s="3" t="s">
        <v>5</v>
      </c>
      <c r="C167" s="3">
        <v>4.0</v>
      </c>
      <c r="D167" s="3" t="s">
        <v>6</v>
      </c>
      <c r="E167" s="3">
        <v>37.0</v>
      </c>
    </row>
    <row r="168" ht="15.75" customHeight="1">
      <c r="A168" s="2">
        <v>45677.0</v>
      </c>
      <c r="B168" s="3" t="s">
        <v>10</v>
      </c>
      <c r="C168" s="3">
        <v>3.0</v>
      </c>
      <c r="D168" s="3" t="s">
        <v>6</v>
      </c>
      <c r="E168" s="3">
        <v>29.0</v>
      </c>
    </row>
    <row r="169" ht="15.75" customHeight="1">
      <c r="A169" s="2">
        <v>45677.0</v>
      </c>
      <c r="B169" s="3" t="s">
        <v>11</v>
      </c>
      <c r="C169" s="3">
        <v>5.0</v>
      </c>
      <c r="D169" s="3" t="s">
        <v>8</v>
      </c>
      <c r="E169" s="3">
        <v>15.0</v>
      </c>
    </row>
    <row r="170" ht="15.75" customHeight="1">
      <c r="A170" s="2">
        <v>45679.0</v>
      </c>
      <c r="B170" s="3" t="s">
        <v>9</v>
      </c>
      <c r="C170" s="3">
        <v>5.0</v>
      </c>
      <c r="D170" s="3" t="s">
        <v>6</v>
      </c>
      <c r="E170" s="3">
        <v>28.0</v>
      </c>
    </row>
    <row r="171" ht="15.75" customHeight="1">
      <c r="A171" s="2">
        <v>45666.0</v>
      </c>
      <c r="B171" s="3" t="s">
        <v>11</v>
      </c>
      <c r="C171" s="3">
        <v>2.0</v>
      </c>
      <c r="D171" s="3" t="s">
        <v>6</v>
      </c>
      <c r="E171" s="3">
        <v>39.0</v>
      </c>
    </row>
    <row r="172" ht="15.75" customHeight="1">
      <c r="A172" s="2">
        <v>45678.0</v>
      </c>
      <c r="B172" s="3" t="s">
        <v>7</v>
      </c>
      <c r="C172" s="3">
        <v>5.0</v>
      </c>
      <c r="D172" s="3" t="s">
        <v>6</v>
      </c>
      <c r="E172" s="3">
        <v>41.0</v>
      </c>
    </row>
    <row r="173" ht="15.75" customHeight="1">
      <c r="A173" s="2">
        <v>45684.0</v>
      </c>
      <c r="B173" s="3" t="s">
        <v>11</v>
      </c>
      <c r="C173" s="3">
        <v>2.0</v>
      </c>
      <c r="D173" s="3" t="s">
        <v>6</v>
      </c>
      <c r="E173" s="3">
        <v>10.0</v>
      </c>
    </row>
    <row r="174" ht="15.75" customHeight="1">
      <c r="A174" s="2">
        <v>45678.0</v>
      </c>
      <c r="B174" s="3" t="s">
        <v>10</v>
      </c>
      <c r="C174" s="3">
        <v>3.0</v>
      </c>
      <c r="D174" s="3" t="s">
        <v>6</v>
      </c>
      <c r="E174" s="3">
        <v>19.0</v>
      </c>
    </row>
    <row r="175" ht="15.75" customHeight="1">
      <c r="A175" s="2">
        <v>45677.0</v>
      </c>
      <c r="B175" s="3" t="s">
        <v>11</v>
      </c>
      <c r="C175" s="3">
        <v>3.0</v>
      </c>
      <c r="D175" s="3" t="s">
        <v>6</v>
      </c>
      <c r="E175" s="3">
        <v>20.0</v>
      </c>
    </row>
    <row r="176" ht="15.75" customHeight="1">
      <c r="A176" s="2">
        <v>45658.0</v>
      </c>
      <c r="B176" s="3" t="s">
        <v>9</v>
      </c>
      <c r="C176" s="3">
        <v>3.0</v>
      </c>
      <c r="D176" s="3" t="s">
        <v>6</v>
      </c>
      <c r="E176" s="3">
        <v>15.0</v>
      </c>
    </row>
    <row r="177" ht="15.75" customHeight="1">
      <c r="A177" s="2">
        <v>45663.0</v>
      </c>
      <c r="B177" s="3" t="s">
        <v>5</v>
      </c>
      <c r="C177" s="3">
        <v>1.0</v>
      </c>
      <c r="D177" s="3" t="s">
        <v>6</v>
      </c>
      <c r="E177" s="3">
        <v>17.0</v>
      </c>
    </row>
    <row r="178" ht="15.75" customHeight="1">
      <c r="A178" s="2">
        <v>45665.0</v>
      </c>
      <c r="B178" s="3" t="s">
        <v>11</v>
      </c>
      <c r="C178" s="3">
        <v>3.0</v>
      </c>
      <c r="D178" s="3" t="s">
        <v>6</v>
      </c>
      <c r="E178" s="3">
        <v>29.0</v>
      </c>
    </row>
    <row r="179" ht="15.75" customHeight="1">
      <c r="A179" s="2">
        <v>45663.0</v>
      </c>
      <c r="B179" s="3" t="s">
        <v>11</v>
      </c>
      <c r="C179" s="3">
        <v>4.0</v>
      </c>
      <c r="D179" s="3" t="s">
        <v>6</v>
      </c>
      <c r="E179" s="3">
        <v>9.0</v>
      </c>
    </row>
    <row r="180" ht="15.75" customHeight="1">
      <c r="A180" s="2">
        <v>45661.0</v>
      </c>
      <c r="B180" s="3" t="s">
        <v>9</v>
      </c>
      <c r="C180" s="3">
        <v>5.0</v>
      </c>
      <c r="D180" s="3" t="s">
        <v>6</v>
      </c>
      <c r="E180" s="3">
        <v>14.0</v>
      </c>
    </row>
    <row r="181" ht="15.75" customHeight="1">
      <c r="A181" s="2">
        <v>45677.0</v>
      </c>
      <c r="B181" s="3" t="s">
        <v>5</v>
      </c>
      <c r="C181" s="3">
        <v>4.0</v>
      </c>
      <c r="D181" s="3" t="s">
        <v>6</v>
      </c>
      <c r="E181" s="3">
        <v>8.0</v>
      </c>
    </row>
    <row r="182" ht="15.75" customHeight="1">
      <c r="A182" s="2">
        <v>45666.0</v>
      </c>
      <c r="B182" s="3" t="s">
        <v>11</v>
      </c>
      <c r="C182" s="3">
        <v>5.0</v>
      </c>
      <c r="D182" s="3" t="s">
        <v>6</v>
      </c>
      <c r="E182" s="3">
        <v>45.0</v>
      </c>
    </row>
    <row r="183" ht="15.75" customHeight="1">
      <c r="A183" s="2">
        <v>45660.0</v>
      </c>
      <c r="B183" s="3" t="s">
        <v>5</v>
      </c>
      <c r="C183" s="3">
        <v>4.0</v>
      </c>
      <c r="D183" s="3" t="s">
        <v>6</v>
      </c>
      <c r="E183" s="3">
        <v>18.0</v>
      </c>
    </row>
    <row r="184" ht="15.75" customHeight="1">
      <c r="A184" s="2">
        <v>45668.0</v>
      </c>
      <c r="B184" s="3" t="s">
        <v>5</v>
      </c>
      <c r="C184" s="3">
        <v>2.0</v>
      </c>
      <c r="D184" s="3" t="s">
        <v>6</v>
      </c>
      <c r="E184" s="3">
        <v>5.0</v>
      </c>
    </row>
    <row r="185" ht="15.75" customHeight="1">
      <c r="A185" s="2">
        <v>45680.0</v>
      </c>
      <c r="B185" s="3" t="s">
        <v>10</v>
      </c>
      <c r="C185" s="3">
        <v>5.0</v>
      </c>
      <c r="D185" s="3" t="s">
        <v>6</v>
      </c>
      <c r="E185" s="3">
        <v>16.0</v>
      </c>
    </row>
    <row r="186" ht="15.75" customHeight="1">
      <c r="A186" s="2">
        <v>45679.0</v>
      </c>
      <c r="B186" s="3" t="s">
        <v>9</v>
      </c>
      <c r="C186" s="3">
        <v>3.0</v>
      </c>
      <c r="D186" s="3" t="s">
        <v>6</v>
      </c>
      <c r="E186" s="3">
        <v>7.0</v>
      </c>
    </row>
    <row r="187" ht="15.75" customHeight="1">
      <c r="A187" s="2">
        <v>45675.0</v>
      </c>
      <c r="B187" s="3" t="s">
        <v>10</v>
      </c>
      <c r="C187" s="3">
        <v>4.0</v>
      </c>
      <c r="D187" s="3" t="s">
        <v>6</v>
      </c>
      <c r="E187" s="3">
        <v>4.0</v>
      </c>
    </row>
    <row r="188" ht="15.75" customHeight="1">
      <c r="A188" s="2">
        <v>45675.0</v>
      </c>
      <c r="B188" s="3" t="s">
        <v>7</v>
      </c>
      <c r="C188" s="3">
        <v>3.0</v>
      </c>
      <c r="D188" s="3" t="s">
        <v>6</v>
      </c>
      <c r="E188" s="3">
        <v>30.0</v>
      </c>
    </row>
    <row r="189" ht="15.75" customHeight="1">
      <c r="A189" s="2">
        <v>45673.0</v>
      </c>
      <c r="B189" s="3" t="s">
        <v>11</v>
      </c>
      <c r="C189" s="3">
        <v>5.0</v>
      </c>
      <c r="D189" s="3" t="s">
        <v>6</v>
      </c>
      <c r="E189" s="3">
        <v>35.0</v>
      </c>
    </row>
    <row r="190" ht="15.75" customHeight="1">
      <c r="A190" s="2">
        <v>45670.0</v>
      </c>
      <c r="B190" s="3" t="s">
        <v>7</v>
      </c>
      <c r="C190" s="3">
        <v>2.0</v>
      </c>
      <c r="D190" s="3" t="s">
        <v>8</v>
      </c>
      <c r="E190" s="3">
        <v>44.0</v>
      </c>
    </row>
    <row r="191" ht="15.75" customHeight="1">
      <c r="A191" s="2">
        <v>45678.0</v>
      </c>
      <c r="B191" s="3" t="s">
        <v>5</v>
      </c>
      <c r="C191" s="3">
        <v>1.0</v>
      </c>
      <c r="D191" s="3" t="s">
        <v>6</v>
      </c>
      <c r="E191" s="3">
        <v>12.0</v>
      </c>
    </row>
    <row r="192" ht="15.75" customHeight="1">
      <c r="A192" s="2">
        <v>45685.0</v>
      </c>
      <c r="B192" s="3" t="s">
        <v>7</v>
      </c>
      <c r="C192" s="3">
        <v>2.0</v>
      </c>
      <c r="D192" s="3" t="s">
        <v>6</v>
      </c>
      <c r="E192" s="3">
        <v>15.0</v>
      </c>
    </row>
    <row r="193" ht="15.75" customHeight="1">
      <c r="A193" s="2">
        <v>45673.0</v>
      </c>
      <c r="B193" s="3" t="s">
        <v>7</v>
      </c>
      <c r="C193" s="3">
        <v>2.0</v>
      </c>
      <c r="D193" s="3" t="s">
        <v>8</v>
      </c>
      <c r="E193" s="3">
        <v>26.0</v>
      </c>
    </row>
    <row r="194" ht="15.75" customHeight="1">
      <c r="A194" s="2">
        <v>45680.0</v>
      </c>
      <c r="B194" s="3" t="s">
        <v>7</v>
      </c>
      <c r="C194" s="3">
        <v>3.0</v>
      </c>
      <c r="D194" s="3" t="s">
        <v>6</v>
      </c>
      <c r="E194" s="3">
        <v>21.0</v>
      </c>
    </row>
    <row r="195" ht="15.75" customHeight="1">
      <c r="A195" s="2">
        <v>45666.0</v>
      </c>
      <c r="B195" s="3" t="s">
        <v>9</v>
      </c>
      <c r="C195" s="3">
        <v>1.0</v>
      </c>
      <c r="D195" s="3" t="s">
        <v>6</v>
      </c>
      <c r="E195" s="3">
        <v>45.0</v>
      </c>
    </row>
    <row r="196" ht="15.75" customHeight="1">
      <c r="A196" s="2">
        <v>45678.0</v>
      </c>
      <c r="B196" s="3" t="s">
        <v>5</v>
      </c>
      <c r="C196" s="3">
        <v>3.0</v>
      </c>
      <c r="D196" s="3" t="s">
        <v>6</v>
      </c>
      <c r="E196" s="3">
        <v>20.0</v>
      </c>
    </row>
    <row r="197" ht="15.75" customHeight="1">
      <c r="A197" s="2">
        <v>45670.0</v>
      </c>
      <c r="B197" s="3" t="s">
        <v>10</v>
      </c>
      <c r="C197" s="3">
        <v>4.0</v>
      </c>
      <c r="D197" s="3" t="s">
        <v>8</v>
      </c>
      <c r="E197" s="3">
        <v>16.0</v>
      </c>
    </row>
    <row r="198" ht="15.75" customHeight="1">
      <c r="A198" s="2">
        <v>45660.0</v>
      </c>
      <c r="B198" s="3" t="s">
        <v>9</v>
      </c>
      <c r="C198" s="3">
        <v>4.0</v>
      </c>
      <c r="D198" s="3" t="s">
        <v>6</v>
      </c>
      <c r="E198" s="3">
        <v>25.0</v>
      </c>
    </row>
    <row r="199" ht="15.75" customHeight="1">
      <c r="A199" s="2">
        <v>45662.0</v>
      </c>
      <c r="B199" s="3" t="s">
        <v>7</v>
      </c>
      <c r="C199" s="3">
        <v>1.0</v>
      </c>
      <c r="D199" s="3" t="s">
        <v>6</v>
      </c>
      <c r="E199" s="3">
        <v>25.0</v>
      </c>
    </row>
    <row r="200" ht="15.75" customHeight="1">
      <c r="A200" s="2">
        <v>45675.0</v>
      </c>
      <c r="B200" s="3" t="s">
        <v>7</v>
      </c>
      <c r="C200" s="3">
        <v>5.0</v>
      </c>
      <c r="D200" s="3" t="s">
        <v>6</v>
      </c>
      <c r="E200" s="3">
        <v>14.0</v>
      </c>
    </row>
    <row r="201" ht="15.75" customHeight="1">
      <c r="A201" s="2">
        <v>45671.0</v>
      </c>
      <c r="B201" s="3" t="s">
        <v>5</v>
      </c>
      <c r="C201" s="3">
        <v>3.0</v>
      </c>
      <c r="D201" s="3" t="s">
        <v>6</v>
      </c>
      <c r="E201" s="3">
        <v>38.0</v>
      </c>
    </row>
    <row r="202" ht="15.75" customHeight="1">
      <c r="A202" s="2">
        <v>45678.0</v>
      </c>
      <c r="B202" s="3" t="s">
        <v>5</v>
      </c>
      <c r="C202" s="3">
        <v>5.0</v>
      </c>
      <c r="D202" s="3" t="s">
        <v>6</v>
      </c>
      <c r="E202" s="3">
        <v>33.0</v>
      </c>
    </row>
    <row r="203" ht="15.75" customHeight="1">
      <c r="A203" s="2">
        <v>45670.0</v>
      </c>
      <c r="B203" s="3" t="s">
        <v>11</v>
      </c>
      <c r="C203" s="3">
        <v>4.0</v>
      </c>
      <c r="D203" s="3" t="s">
        <v>6</v>
      </c>
      <c r="E203" s="3">
        <v>18.0</v>
      </c>
    </row>
    <row r="204" ht="15.75" customHeight="1">
      <c r="A204" s="2">
        <v>45683.0</v>
      </c>
      <c r="B204" s="3" t="s">
        <v>7</v>
      </c>
      <c r="C204" s="3">
        <v>1.0</v>
      </c>
      <c r="D204" s="3" t="s">
        <v>6</v>
      </c>
      <c r="E204" s="3">
        <v>38.0</v>
      </c>
    </row>
    <row r="205" ht="15.75" customHeight="1">
      <c r="A205" s="2">
        <v>45676.0</v>
      </c>
      <c r="B205" s="3" t="s">
        <v>11</v>
      </c>
      <c r="C205" s="3">
        <v>3.0</v>
      </c>
      <c r="D205" s="3" t="s">
        <v>8</v>
      </c>
      <c r="E205" s="3">
        <v>29.0</v>
      </c>
    </row>
    <row r="206" ht="15.75" customHeight="1">
      <c r="A206" s="2">
        <v>45670.0</v>
      </c>
      <c r="B206" s="3" t="s">
        <v>10</v>
      </c>
      <c r="C206" s="3">
        <v>4.0</v>
      </c>
      <c r="D206" s="3" t="s">
        <v>6</v>
      </c>
      <c r="E206" s="3">
        <v>21.0</v>
      </c>
    </row>
    <row r="207" ht="15.75" customHeight="1">
      <c r="A207" s="2">
        <v>45687.0</v>
      </c>
      <c r="B207" s="3" t="s">
        <v>9</v>
      </c>
      <c r="C207" s="3">
        <v>4.0</v>
      </c>
      <c r="D207" s="3" t="s">
        <v>8</v>
      </c>
      <c r="E207" s="3">
        <v>3.0</v>
      </c>
    </row>
    <row r="208" ht="15.75" customHeight="1">
      <c r="A208" s="2">
        <v>45673.0</v>
      </c>
      <c r="B208" s="3" t="s">
        <v>9</v>
      </c>
      <c r="C208" s="3">
        <v>1.0</v>
      </c>
      <c r="D208" s="3" t="s">
        <v>6</v>
      </c>
      <c r="E208" s="3">
        <v>8.0</v>
      </c>
    </row>
    <row r="209" ht="15.75" customHeight="1">
      <c r="A209" s="2">
        <v>45658.0</v>
      </c>
      <c r="B209" s="3" t="s">
        <v>11</v>
      </c>
      <c r="C209" s="3">
        <v>4.0</v>
      </c>
      <c r="D209" s="3" t="s">
        <v>6</v>
      </c>
      <c r="E209" s="3">
        <v>32.0</v>
      </c>
    </row>
    <row r="210" ht="15.75" customHeight="1">
      <c r="A210" s="2">
        <v>45668.0</v>
      </c>
      <c r="B210" s="3" t="s">
        <v>11</v>
      </c>
      <c r="C210" s="3">
        <v>3.0</v>
      </c>
      <c r="D210" s="3" t="s">
        <v>6</v>
      </c>
      <c r="E210" s="3">
        <v>14.0</v>
      </c>
    </row>
    <row r="211" ht="15.75" customHeight="1">
      <c r="A211" s="2">
        <v>45664.0</v>
      </c>
      <c r="B211" s="3" t="s">
        <v>5</v>
      </c>
      <c r="C211" s="3">
        <v>4.0</v>
      </c>
      <c r="D211" s="3" t="s">
        <v>6</v>
      </c>
      <c r="E211" s="3">
        <v>28.0</v>
      </c>
    </row>
    <row r="212" ht="15.75" customHeight="1">
      <c r="A212" s="2">
        <v>45678.0</v>
      </c>
      <c r="B212" s="3" t="s">
        <v>10</v>
      </c>
      <c r="C212" s="3">
        <v>2.0</v>
      </c>
      <c r="D212" s="3" t="s">
        <v>8</v>
      </c>
      <c r="E212" s="3">
        <v>45.0</v>
      </c>
    </row>
    <row r="213" ht="15.75" customHeight="1">
      <c r="A213" s="2">
        <v>45667.0</v>
      </c>
      <c r="B213" s="3" t="s">
        <v>10</v>
      </c>
      <c r="C213" s="3">
        <v>3.0</v>
      </c>
      <c r="D213" s="3" t="s">
        <v>6</v>
      </c>
      <c r="E213" s="3">
        <v>6.0</v>
      </c>
    </row>
    <row r="214" ht="15.75" customHeight="1">
      <c r="A214" s="2">
        <v>45676.0</v>
      </c>
      <c r="B214" s="3" t="s">
        <v>7</v>
      </c>
      <c r="C214" s="3">
        <v>4.0</v>
      </c>
      <c r="D214" s="3" t="s">
        <v>6</v>
      </c>
      <c r="E214" s="3">
        <v>9.0</v>
      </c>
    </row>
    <row r="215" ht="15.75" customHeight="1">
      <c r="A215" s="2">
        <v>45683.0</v>
      </c>
      <c r="B215" s="3" t="s">
        <v>5</v>
      </c>
      <c r="C215" s="3">
        <v>5.0</v>
      </c>
      <c r="D215" s="3" t="s">
        <v>6</v>
      </c>
      <c r="E215" s="3">
        <v>19.0</v>
      </c>
    </row>
    <row r="216" ht="15.75" customHeight="1">
      <c r="A216" s="2">
        <v>45686.0</v>
      </c>
      <c r="B216" s="3" t="s">
        <v>11</v>
      </c>
      <c r="C216" s="3">
        <v>4.0</v>
      </c>
      <c r="D216" s="3" t="s">
        <v>6</v>
      </c>
      <c r="E216" s="3">
        <v>26.0</v>
      </c>
    </row>
    <row r="217" ht="15.75" customHeight="1">
      <c r="A217" s="2">
        <v>45687.0</v>
      </c>
      <c r="B217" s="3" t="s">
        <v>9</v>
      </c>
      <c r="C217" s="3">
        <v>2.0</v>
      </c>
      <c r="D217" s="3" t="s">
        <v>6</v>
      </c>
      <c r="E217" s="3">
        <v>8.0</v>
      </c>
    </row>
    <row r="218" ht="15.75" customHeight="1">
      <c r="A218" s="2">
        <v>45684.0</v>
      </c>
      <c r="B218" s="3" t="s">
        <v>7</v>
      </c>
      <c r="C218" s="3">
        <v>4.0</v>
      </c>
      <c r="D218" s="3" t="s">
        <v>6</v>
      </c>
      <c r="E218" s="3">
        <v>9.0</v>
      </c>
    </row>
    <row r="219" ht="15.75" customHeight="1">
      <c r="A219" s="2">
        <v>45686.0</v>
      </c>
      <c r="B219" s="3" t="s">
        <v>5</v>
      </c>
      <c r="C219" s="3">
        <v>3.0</v>
      </c>
      <c r="D219" s="3" t="s">
        <v>6</v>
      </c>
      <c r="E219" s="3">
        <v>26.0</v>
      </c>
    </row>
    <row r="220" ht="15.75" customHeight="1">
      <c r="A220" s="2">
        <v>45680.0</v>
      </c>
      <c r="B220" s="3" t="s">
        <v>11</v>
      </c>
      <c r="C220" s="3">
        <v>1.0</v>
      </c>
      <c r="D220" s="3" t="s">
        <v>8</v>
      </c>
      <c r="E220" s="3">
        <v>42.0</v>
      </c>
    </row>
    <row r="221" ht="15.75" customHeight="1">
      <c r="A221" s="2">
        <v>45662.0</v>
      </c>
      <c r="B221" s="3" t="s">
        <v>10</v>
      </c>
      <c r="C221" s="3">
        <v>4.0</v>
      </c>
      <c r="D221" s="3" t="s">
        <v>8</v>
      </c>
      <c r="E221" s="3">
        <v>19.0</v>
      </c>
    </row>
    <row r="222" ht="15.75" customHeight="1">
      <c r="A222" s="2">
        <v>45677.0</v>
      </c>
      <c r="B222" s="3" t="s">
        <v>11</v>
      </c>
      <c r="C222" s="3">
        <v>4.0</v>
      </c>
      <c r="D222" s="3" t="s">
        <v>6</v>
      </c>
      <c r="E222" s="3">
        <v>9.0</v>
      </c>
    </row>
    <row r="223" ht="15.75" customHeight="1">
      <c r="A223" s="2">
        <v>45664.0</v>
      </c>
      <c r="B223" s="3" t="s">
        <v>10</v>
      </c>
      <c r="C223" s="3">
        <v>4.0</v>
      </c>
      <c r="D223" s="3" t="s">
        <v>6</v>
      </c>
      <c r="E223" s="3">
        <v>28.0</v>
      </c>
    </row>
    <row r="224" ht="15.75" customHeight="1">
      <c r="A224" s="2">
        <v>45681.0</v>
      </c>
      <c r="B224" s="3" t="s">
        <v>9</v>
      </c>
      <c r="C224" s="3">
        <v>5.0</v>
      </c>
      <c r="D224" s="3" t="s">
        <v>6</v>
      </c>
      <c r="E224" s="3">
        <v>34.0</v>
      </c>
    </row>
    <row r="225" ht="15.75" customHeight="1">
      <c r="A225" s="2">
        <v>45665.0</v>
      </c>
      <c r="B225" s="3" t="s">
        <v>10</v>
      </c>
      <c r="C225" s="3">
        <v>5.0</v>
      </c>
      <c r="D225" s="3" t="s">
        <v>6</v>
      </c>
      <c r="E225" s="3">
        <v>6.0</v>
      </c>
    </row>
    <row r="226" ht="15.75" customHeight="1">
      <c r="A226" s="2">
        <v>45681.0</v>
      </c>
      <c r="B226" s="3" t="s">
        <v>5</v>
      </c>
      <c r="C226" s="3">
        <v>3.0</v>
      </c>
      <c r="D226" s="3" t="s">
        <v>8</v>
      </c>
      <c r="E226" s="3">
        <v>22.0</v>
      </c>
    </row>
    <row r="227" ht="15.75" customHeight="1">
      <c r="A227" s="2">
        <v>45681.0</v>
      </c>
      <c r="B227" s="3" t="s">
        <v>7</v>
      </c>
      <c r="C227" s="3">
        <v>5.0</v>
      </c>
      <c r="D227" s="3" t="s">
        <v>6</v>
      </c>
      <c r="E227" s="3">
        <v>28.0</v>
      </c>
    </row>
    <row r="228" ht="15.75" customHeight="1">
      <c r="A228" s="2">
        <v>45659.0</v>
      </c>
      <c r="B228" s="3" t="s">
        <v>11</v>
      </c>
      <c r="C228" s="3">
        <v>3.0</v>
      </c>
      <c r="D228" s="3" t="s">
        <v>6</v>
      </c>
      <c r="E228" s="3">
        <v>3.0</v>
      </c>
    </row>
    <row r="229" ht="15.75" customHeight="1">
      <c r="A229" s="2">
        <v>45682.0</v>
      </c>
      <c r="B229" s="3" t="s">
        <v>5</v>
      </c>
      <c r="C229" s="3">
        <v>4.0</v>
      </c>
      <c r="D229" s="3" t="s">
        <v>8</v>
      </c>
      <c r="E229" s="3">
        <v>24.0</v>
      </c>
    </row>
    <row r="230" ht="15.75" customHeight="1">
      <c r="A230" s="2">
        <v>45685.0</v>
      </c>
      <c r="B230" s="3" t="s">
        <v>10</v>
      </c>
      <c r="C230" s="3">
        <v>3.0</v>
      </c>
      <c r="D230" s="3" t="s">
        <v>6</v>
      </c>
      <c r="E230" s="3">
        <v>26.0</v>
      </c>
    </row>
    <row r="231" ht="15.75" customHeight="1">
      <c r="A231" s="2">
        <v>45685.0</v>
      </c>
      <c r="B231" s="3" t="s">
        <v>7</v>
      </c>
      <c r="C231" s="3">
        <v>1.0</v>
      </c>
      <c r="D231" s="3" t="s">
        <v>6</v>
      </c>
      <c r="E231" s="3">
        <v>3.0</v>
      </c>
    </row>
    <row r="232" ht="15.75" customHeight="1">
      <c r="A232" s="2">
        <v>45670.0</v>
      </c>
      <c r="B232" s="3" t="s">
        <v>9</v>
      </c>
      <c r="C232" s="3">
        <v>3.0</v>
      </c>
      <c r="D232" s="3" t="s">
        <v>6</v>
      </c>
      <c r="E232" s="3">
        <v>9.0</v>
      </c>
    </row>
    <row r="233" ht="15.75" customHeight="1">
      <c r="A233" s="2">
        <v>45675.0</v>
      </c>
      <c r="B233" s="3" t="s">
        <v>11</v>
      </c>
      <c r="C233" s="3">
        <v>3.0</v>
      </c>
      <c r="D233" s="3" t="s">
        <v>6</v>
      </c>
      <c r="E233" s="3">
        <v>27.0</v>
      </c>
    </row>
    <row r="234" ht="15.75" customHeight="1">
      <c r="A234" s="2">
        <v>45671.0</v>
      </c>
      <c r="B234" s="3" t="s">
        <v>11</v>
      </c>
      <c r="C234" s="3">
        <v>5.0</v>
      </c>
      <c r="D234" s="3" t="s">
        <v>6</v>
      </c>
      <c r="E234" s="3">
        <v>8.0</v>
      </c>
    </row>
    <row r="235" ht="15.75" customHeight="1">
      <c r="A235" s="2">
        <v>45679.0</v>
      </c>
      <c r="B235" s="3" t="s">
        <v>7</v>
      </c>
      <c r="C235" s="3">
        <v>4.0</v>
      </c>
      <c r="D235" s="3" t="s">
        <v>6</v>
      </c>
      <c r="E235" s="3">
        <v>32.0</v>
      </c>
    </row>
    <row r="236" ht="15.75" customHeight="1">
      <c r="A236" s="2">
        <v>45666.0</v>
      </c>
      <c r="B236" s="3" t="s">
        <v>11</v>
      </c>
      <c r="C236" s="3">
        <v>3.0</v>
      </c>
      <c r="D236" s="3" t="s">
        <v>6</v>
      </c>
      <c r="E236" s="3">
        <v>12.0</v>
      </c>
    </row>
    <row r="237" ht="15.75" customHeight="1">
      <c r="A237" s="2">
        <v>45685.0</v>
      </c>
      <c r="B237" s="3" t="s">
        <v>7</v>
      </c>
      <c r="C237" s="3">
        <v>3.0</v>
      </c>
      <c r="D237" s="3" t="s">
        <v>6</v>
      </c>
      <c r="E237" s="3">
        <v>29.0</v>
      </c>
    </row>
    <row r="238" ht="15.75" customHeight="1">
      <c r="A238" s="2">
        <v>45684.0</v>
      </c>
      <c r="B238" s="3" t="s">
        <v>7</v>
      </c>
      <c r="C238" s="3">
        <v>5.0</v>
      </c>
      <c r="D238" s="3" t="s">
        <v>6</v>
      </c>
      <c r="E238" s="3">
        <v>16.0</v>
      </c>
    </row>
    <row r="239" ht="15.75" customHeight="1">
      <c r="A239" s="2">
        <v>45667.0</v>
      </c>
      <c r="B239" s="3" t="s">
        <v>9</v>
      </c>
      <c r="C239" s="3">
        <v>4.0</v>
      </c>
      <c r="D239" s="3" t="s">
        <v>6</v>
      </c>
      <c r="E239" s="3">
        <v>20.0</v>
      </c>
    </row>
    <row r="240" ht="15.75" customHeight="1">
      <c r="A240" s="2">
        <v>45684.0</v>
      </c>
      <c r="B240" s="3" t="s">
        <v>9</v>
      </c>
      <c r="C240" s="3">
        <v>2.0</v>
      </c>
      <c r="D240" s="3" t="s">
        <v>6</v>
      </c>
      <c r="E240" s="3">
        <v>3.0</v>
      </c>
    </row>
    <row r="241" ht="15.75" customHeight="1">
      <c r="A241" s="2">
        <v>45660.0</v>
      </c>
      <c r="B241" s="3" t="s">
        <v>5</v>
      </c>
      <c r="C241" s="3">
        <v>2.0</v>
      </c>
      <c r="D241" s="3" t="s">
        <v>8</v>
      </c>
      <c r="E241" s="3">
        <v>14.0</v>
      </c>
    </row>
    <row r="242" ht="15.75" customHeight="1">
      <c r="A242" s="2">
        <v>45686.0</v>
      </c>
      <c r="B242" s="3" t="s">
        <v>11</v>
      </c>
      <c r="C242" s="3">
        <v>5.0</v>
      </c>
      <c r="D242" s="3" t="s">
        <v>6</v>
      </c>
      <c r="E242" s="3">
        <v>25.0</v>
      </c>
    </row>
    <row r="243" ht="15.75" customHeight="1">
      <c r="A243" s="2">
        <v>45673.0</v>
      </c>
      <c r="B243" s="3" t="s">
        <v>7</v>
      </c>
      <c r="C243" s="3">
        <v>3.0</v>
      </c>
      <c r="D243" s="3" t="s">
        <v>6</v>
      </c>
      <c r="E243" s="3">
        <v>42.0</v>
      </c>
    </row>
    <row r="244" ht="15.75" customHeight="1">
      <c r="A244" s="2">
        <v>45658.0</v>
      </c>
      <c r="B244" s="3" t="s">
        <v>9</v>
      </c>
      <c r="C244" s="3">
        <v>4.0</v>
      </c>
      <c r="D244" s="3" t="s">
        <v>6</v>
      </c>
      <c r="E244" s="3">
        <v>33.0</v>
      </c>
    </row>
    <row r="245" ht="15.75" customHeight="1">
      <c r="A245" s="2">
        <v>45682.0</v>
      </c>
      <c r="B245" s="3" t="s">
        <v>11</v>
      </c>
      <c r="C245" s="3">
        <v>3.0</v>
      </c>
      <c r="D245" s="3" t="s">
        <v>8</v>
      </c>
      <c r="E245" s="3">
        <v>21.0</v>
      </c>
    </row>
    <row r="246" ht="15.75" customHeight="1">
      <c r="A246" s="2">
        <v>45670.0</v>
      </c>
      <c r="B246" s="3" t="s">
        <v>11</v>
      </c>
      <c r="C246" s="3">
        <v>5.0</v>
      </c>
      <c r="D246" s="3" t="s">
        <v>6</v>
      </c>
      <c r="E246" s="3">
        <v>7.0</v>
      </c>
    </row>
    <row r="247" ht="15.75" customHeight="1">
      <c r="A247" s="2">
        <v>45663.0</v>
      </c>
      <c r="B247" s="3" t="s">
        <v>7</v>
      </c>
      <c r="C247" s="3">
        <v>5.0</v>
      </c>
      <c r="D247" s="3" t="s">
        <v>8</v>
      </c>
      <c r="E247" s="3">
        <v>18.0</v>
      </c>
    </row>
    <row r="248" ht="15.75" customHeight="1">
      <c r="A248" s="2">
        <v>45668.0</v>
      </c>
      <c r="B248" s="3" t="s">
        <v>7</v>
      </c>
      <c r="C248" s="3">
        <v>1.0</v>
      </c>
      <c r="D248" s="3" t="s">
        <v>6</v>
      </c>
      <c r="E248" s="3">
        <v>22.0</v>
      </c>
    </row>
    <row r="249" ht="15.75" customHeight="1">
      <c r="A249" s="2">
        <v>45682.0</v>
      </c>
      <c r="B249" s="3" t="s">
        <v>7</v>
      </c>
      <c r="C249" s="3">
        <v>5.0</v>
      </c>
      <c r="D249" s="3" t="s">
        <v>6</v>
      </c>
      <c r="E249" s="3">
        <v>6.0</v>
      </c>
    </row>
    <row r="250" ht="15.75" customHeight="1">
      <c r="A250" s="2">
        <v>45668.0</v>
      </c>
      <c r="B250" s="3" t="s">
        <v>10</v>
      </c>
      <c r="C250" s="3">
        <v>1.0</v>
      </c>
      <c r="D250" s="3" t="s">
        <v>6</v>
      </c>
      <c r="E250" s="3">
        <v>17.0</v>
      </c>
    </row>
    <row r="251" ht="15.75" customHeight="1">
      <c r="A251" s="2">
        <v>45678.0</v>
      </c>
      <c r="B251" s="3" t="s">
        <v>5</v>
      </c>
      <c r="C251" s="3">
        <v>1.0</v>
      </c>
      <c r="D251" s="3" t="s">
        <v>6</v>
      </c>
      <c r="E251" s="3">
        <v>10.0</v>
      </c>
    </row>
    <row r="252" ht="15.75" customHeight="1">
      <c r="A252" s="2">
        <v>45683.0</v>
      </c>
      <c r="B252" s="3" t="s">
        <v>11</v>
      </c>
      <c r="C252" s="3">
        <v>4.0</v>
      </c>
      <c r="D252" s="3" t="s">
        <v>6</v>
      </c>
      <c r="E252" s="3">
        <v>18.0</v>
      </c>
    </row>
    <row r="253" ht="15.75" customHeight="1">
      <c r="A253" s="2">
        <v>45674.0</v>
      </c>
      <c r="B253" s="3" t="s">
        <v>9</v>
      </c>
      <c r="C253" s="3">
        <v>1.0</v>
      </c>
      <c r="D253" s="3" t="s">
        <v>8</v>
      </c>
      <c r="E253" s="3">
        <v>31.0</v>
      </c>
    </row>
    <row r="254" ht="15.75" customHeight="1">
      <c r="A254" s="2">
        <v>45685.0</v>
      </c>
      <c r="B254" s="3" t="s">
        <v>9</v>
      </c>
      <c r="C254" s="3">
        <v>3.0</v>
      </c>
      <c r="D254" s="3" t="s">
        <v>8</v>
      </c>
      <c r="E254" s="3">
        <v>21.0</v>
      </c>
    </row>
    <row r="255" ht="15.75" customHeight="1">
      <c r="A255" s="2">
        <v>45669.0</v>
      </c>
      <c r="B255" s="3" t="s">
        <v>11</v>
      </c>
      <c r="C255" s="3">
        <v>1.0</v>
      </c>
      <c r="D255" s="3" t="s">
        <v>8</v>
      </c>
      <c r="E255" s="3">
        <v>29.0</v>
      </c>
    </row>
    <row r="256" ht="15.75" customHeight="1">
      <c r="A256" s="2">
        <v>45670.0</v>
      </c>
      <c r="B256" s="3" t="s">
        <v>5</v>
      </c>
      <c r="C256" s="3">
        <v>3.0</v>
      </c>
      <c r="D256" s="3" t="s">
        <v>6</v>
      </c>
      <c r="E256" s="3">
        <v>38.0</v>
      </c>
    </row>
    <row r="257" ht="15.75" customHeight="1">
      <c r="A257" s="2">
        <v>45681.0</v>
      </c>
      <c r="B257" s="3" t="s">
        <v>7</v>
      </c>
      <c r="C257" s="3">
        <v>3.0</v>
      </c>
      <c r="D257" s="3" t="s">
        <v>6</v>
      </c>
      <c r="E257" s="3">
        <v>7.0</v>
      </c>
    </row>
    <row r="258" ht="15.75" customHeight="1">
      <c r="A258" s="2">
        <v>45678.0</v>
      </c>
      <c r="B258" s="3" t="s">
        <v>10</v>
      </c>
      <c r="C258" s="3">
        <v>2.0</v>
      </c>
      <c r="D258" s="3" t="s">
        <v>6</v>
      </c>
      <c r="E258" s="3">
        <v>34.0</v>
      </c>
    </row>
    <row r="259" ht="15.75" customHeight="1">
      <c r="A259" s="2">
        <v>45685.0</v>
      </c>
      <c r="B259" s="3" t="s">
        <v>10</v>
      </c>
      <c r="C259" s="3">
        <v>3.0</v>
      </c>
      <c r="D259" s="3" t="s">
        <v>6</v>
      </c>
      <c r="E259" s="3">
        <v>15.0</v>
      </c>
    </row>
    <row r="260" ht="15.75" customHeight="1">
      <c r="A260" s="2">
        <v>45668.0</v>
      </c>
      <c r="B260" s="3" t="s">
        <v>7</v>
      </c>
      <c r="C260" s="3">
        <v>1.0</v>
      </c>
      <c r="D260" s="3" t="s">
        <v>6</v>
      </c>
      <c r="E260" s="3">
        <v>3.0</v>
      </c>
    </row>
    <row r="261" ht="15.75" customHeight="1">
      <c r="A261" s="2">
        <v>45677.0</v>
      </c>
      <c r="B261" s="3" t="s">
        <v>11</v>
      </c>
      <c r="C261" s="3">
        <v>5.0</v>
      </c>
      <c r="D261" s="3" t="s">
        <v>6</v>
      </c>
      <c r="E261" s="3">
        <v>20.0</v>
      </c>
    </row>
    <row r="262" ht="15.75" customHeight="1">
      <c r="A262" s="2">
        <v>45681.0</v>
      </c>
      <c r="B262" s="3" t="s">
        <v>5</v>
      </c>
      <c r="C262" s="3">
        <v>3.0</v>
      </c>
      <c r="D262" s="3" t="s">
        <v>6</v>
      </c>
      <c r="E262" s="3">
        <v>35.0</v>
      </c>
    </row>
    <row r="263" ht="15.75" customHeight="1">
      <c r="A263" s="2">
        <v>45676.0</v>
      </c>
      <c r="B263" s="3" t="s">
        <v>11</v>
      </c>
      <c r="C263" s="3">
        <v>1.0</v>
      </c>
      <c r="D263" s="3" t="s">
        <v>6</v>
      </c>
      <c r="E263" s="3">
        <v>4.0</v>
      </c>
    </row>
    <row r="264" ht="15.75" customHeight="1">
      <c r="A264" s="2">
        <v>45679.0</v>
      </c>
      <c r="B264" s="3" t="s">
        <v>10</v>
      </c>
      <c r="C264" s="3">
        <v>5.0</v>
      </c>
      <c r="D264" s="3" t="s">
        <v>6</v>
      </c>
      <c r="E264" s="3">
        <v>34.0</v>
      </c>
    </row>
    <row r="265" ht="15.75" customHeight="1">
      <c r="A265" s="2">
        <v>45675.0</v>
      </c>
      <c r="B265" s="3" t="s">
        <v>7</v>
      </c>
      <c r="C265" s="3">
        <v>3.0</v>
      </c>
      <c r="D265" s="3" t="s">
        <v>6</v>
      </c>
      <c r="E265" s="3">
        <v>15.0</v>
      </c>
    </row>
    <row r="266" ht="15.75" customHeight="1">
      <c r="A266" s="2">
        <v>45672.0</v>
      </c>
      <c r="B266" s="3" t="s">
        <v>9</v>
      </c>
      <c r="C266" s="3">
        <v>2.0</v>
      </c>
      <c r="D266" s="3" t="s">
        <v>6</v>
      </c>
      <c r="E266" s="3">
        <v>30.0</v>
      </c>
    </row>
    <row r="267" ht="15.75" customHeight="1">
      <c r="A267" s="2">
        <v>45673.0</v>
      </c>
      <c r="B267" s="3" t="s">
        <v>5</v>
      </c>
      <c r="C267" s="3">
        <v>1.0</v>
      </c>
      <c r="D267" s="3" t="s">
        <v>6</v>
      </c>
      <c r="E267" s="3">
        <v>19.0</v>
      </c>
    </row>
    <row r="268" ht="15.75" customHeight="1">
      <c r="A268" s="2">
        <v>45660.0</v>
      </c>
      <c r="B268" s="3" t="s">
        <v>11</v>
      </c>
      <c r="C268" s="3">
        <v>1.0</v>
      </c>
      <c r="D268" s="3" t="s">
        <v>6</v>
      </c>
      <c r="E268" s="3">
        <v>43.0</v>
      </c>
    </row>
    <row r="269" ht="15.75" customHeight="1">
      <c r="A269" s="2">
        <v>45674.0</v>
      </c>
      <c r="B269" s="3" t="s">
        <v>11</v>
      </c>
      <c r="C269" s="3">
        <v>5.0</v>
      </c>
      <c r="D269" s="3" t="s">
        <v>6</v>
      </c>
      <c r="E269" s="3">
        <v>12.0</v>
      </c>
    </row>
    <row r="270" ht="15.75" customHeight="1">
      <c r="A270" s="2">
        <v>45683.0</v>
      </c>
      <c r="B270" s="3" t="s">
        <v>9</v>
      </c>
      <c r="C270" s="3">
        <v>1.0</v>
      </c>
      <c r="D270" s="3" t="s">
        <v>8</v>
      </c>
      <c r="E270" s="3">
        <v>38.0</v>
      </c>
    </row>
    <row r="271" ht="15.75" customHeight="1">
      <c r="A271" s="2">
        <v>45661.0</v>
      </c>
      <c r="B271" s="3" t="s">
        <v>11</v>
      </c>
      <c r="C271" s="3">
        <v>1.0</v>
      </c>
      <c r="D271" s="3" t="s">
        <v>6</v>
      </c>
      <c r="E271" s="3">
        <v>26.0</v>
      </c>
    </row>
    <row r="272" ht="15.75" customHeight="1">
      <c r="A272" s="2">
        <v>45665.0</v>
      </c>
      <c r="B272" s="3" t="s">
        <v>10</v>
      </c>
      <c r="C272" s="3">
        <v>3.0</v>
      </c>
      <c r="D272" s="3" t="s">
        <v>6</v>
      </c>
      <c r="E272" s="3">
        <v>3.0</v>
      </c>
    </row>
    <row r="273" ht="15.75" customHeight="1">
      <c r="A273" s="2">
        <v>45676.0</v>
      </c>
      <c r="B273" s="3" t="s">
        <v>11</v>
      </c>
      <c r="C273" s="3">
        <v>1.0</v>
      </c>
      <c r="D273" s="3" t="s">
        <v>8</v>
      </c>
      <c r="E273" s="3">
        <v>31.0</v>
      </c>
    </row>
    <row r="274" ht="15.75" customHeight="1">
      <c r="A274" s="2">
        <v>45663.0</v>
      </c>
      <c r="B274" s="3" t="s">
        <v>7</v>
      </c>
      <c r="C274" s="3">
        <v>1.0</v>
      </c>
      <c r="D274" s="3" t="s">
        <v>8</v>
      </c>
      <c r="E274" s="3">
        <v>9.0</v>
      </c>
    </row>
    <row r="275" ht="15.75" customHeight="1">
      <c r="A275" s="2">
        <v>45668.0</v>
      </c>
      <c r="B275" s="3" t="s">
        <v>11</v>
      </c>
      <c r="C275" s="3">
        <v>3.0</v>
      </c>
      <c r="D275" s="3" t="s">
        <v>6</v>
      </c>
      <c r="E275" s="3">
        <v>12.0</v>
      </c>
    </row>
    <row r="276" ht="15.75" customHeight="1">
      <c r="A276" s="2">
        <v>45676.0</v>
      </c>
      <c r="B276" s="3" t="s">
        <v>11</v>
      </c>
      <c r="C276" s="3">
        <v>5.0</v>
      </c>
      <c r="D276" s="3" t="s">
        <v>6</v>
      </c>
      <c r="E276" s="3">
        <v>36.0</v>
      </c>
    </row>
    <row r="277" ht="15.75" customHeight="1">
      <c r="A277" s="2">
        <v>45663.0</v>
      </c>
      <c r="B277" s="3" t="s">
        <v>7</v>
      </c>
      <c r="C277" s="3">
        <v>5.0</v>
      </c>
      <c r="D277" s="3" t="s">
        <v>6</v>
      </c>
      <c r="E277" s="3">
        <v>8.0</v>
      </c>
    </row>
    <row r="278" ht="15.75" customHeight="1">
      <c r="A278" s="2">
        <v>45663.0</v>
      </c>
      <c r="B278" s="3" t="s">
        <v>9</v>
      </c>
      <c r="C278" s="3">
        <v>1.0</v>
      </c>
      <c r="D278" s="3" t="s">
        <v>6</v>
      </c>
      <c r="E278" s="3">
        <v>42.0</v>
      </c>
    </row>
    <row r="279" ht="15.75" customHeight="1">
      <c r="A279" s="2">
        <v>45666.0</v>
      </c>
      <c r="B279" s="3" t="s">
        <v>5</v>
      </c>
      <c r="C279" s="3">
        <v>2.0</v>
      </c>
      <c r="D279" s="3" t="s">
        <v>6</v>
      </c>
      <c r="E279" s="3">
        <v>36.0</v>
      </c>
    </row>
    <row r="280" ht="15.75" customHeight="1">
      <c r="A280" s="2">
        <v>45658.0</v>
      </c>
      <c r="B280" s="3" t="s">
        <v>11</v>
      </c>
      <c r="C280" s="3">
        <v>4.0</v>
      </c>
      <c r="D280" s="3" t="s">
        <v>6</v>
      </c>
      <c r="E280" s="3">
        <v>10.0</v>
      </c>
    </row>
    <row r="281" ht="15.75" customHeight="1">
      <c r="A281" s="2">
        <v>45674.0</v>
      </c>
      <c r="B281" s="3" t="s">
        <v>10</v>
      </c>
      <c r="C281" s="3">
        <v>5.0</v>
      </c>
      <c r="D281" s="3" t="s">
        <v>6</v>
      </c>
      <c r="E281" s="3">
        <v>16.0</v>
      </c>
    </row>
    <row r="282" ht="15.75" customHeight="1">
      <c r="A282" s="2">
        <v>45685.0</v>
      </c>
      <c r="B282" s="3" t="s">
        <v>5</v>
      </c>
      <c r="C282" s="3">
        <v>2.0</v>
      </c>
      <c r="D282" s="3" t="s">
        <v>6</v>
      </c>
      <c r="E282" s="3">
        <v>3.0</v>
      </c>
    </row>
    <row r="283" ht="15.75" customHeight="1">
      <c r="A283" s="2">
        <v>45674.0</v>
      </c>
      <c r="B283" s="3" t="s">
        <v>11</v>
      </c>
      <c r="C283" s="3">
        <v>1.0</v>
      </c>
      <c r="D283" s="3" t="s">
        <v>6</v>
      </c>
      <c r="E283" s="3">
        <v>23.0</v>
      </c>
    </row>
    <row r="284" ht="15.75" customHeight="1">
      <c r="A284" s="2">
        <v>45687.0</v>
      </c>
      <c r="B284" s="3" t="s">
        <v>10</v>
      </c>
      <c r="C284" s="3">
        <v>5.0</v>
      </c>
      <c r="D284" s="3" t="s">
        <v>6</v>
      </c>
      <c r="E284" s="3">
        <v>4.0</v>
      </c>
    </row>
    <row r="285" ht="15.75" customHeight="1">
      <c r="A285" s="2">
        <v>45665.0</v>
      </c>
      <c r="B285" s="3" t="s">
        <v>9</v>
      </c>
      <c r="C285" s="3">
        <v>3.0</v>
      </c>
      <c r="D285" s="3" t="s">
        <v>6</v>
      </c>
      <c r="E285" s="3">
        <v>2.0</v>
      </c>
    </row>
    <row r="286" ht="15.75" customHeight="1">
      <c r="A286" s="2">
        <v>45684.0</v>
      </c>
      <c r="B286" s="3" t="s">
        <v>5</v>
      </c>
      <c r="C286" s="3">
        <v>3.0</v>
      </c>
      <c r="D286" s="3" t="s">
        <v>6</v>
      </c>
      <c r="E286" s="3">
        <v>43.0</v>
      </c>
    </row>
    <row r="287" ht="15.75" customHeight="1">
      <c r="A287" s="2">
        <v>45677.0</v>
      </c>
      <c r="B287" s="3" t="s">
        <v>9</v>
      </c>
      <c r="C287" s="3">
        <v>5.0</v>
      </c>
      <c r="D287" s="3" t="s">
        <v>6</v>
      </c>
      <c r="E287" s="3">
        <v>9.0</v>
      </c>
    </row>
    <row r="288" ht="15.75" customHeight="1">
      <c r="A288" s="2">
        <v>45663.0</v>
      </c>
      <c r="B288" s="3" t="s">
        <v>7</v>
      </c>
      <c r="C288" s="3">
        <v>1.0</v>
      </c>
      <c r="D288" s="3" t="s">
        <v>6</v>
      </c>
      <c r="E288" s="3">
        <v>17.0</v>
      </c>
    </row>
    <row r="289" ht="15.75" customHeight="1">
      <c r="A289" s="2">
        <v>45683.0</v>
      </c>
      <c r="B289" s="3" t="s">
        <v>11</v>
      </c>
      <c r="C289" s="3">
        <v>5.0</v>
      </c>
      <c r="D289" s="3" t="s">
        <v>6</v>
      </c>
      <c r="E289" s="3">
        <v>13.0</v>
      </c>
    </row>
    <row r="290" ht="15.75" customHeight="1">
      <c r="A290" s="2">
        <v>45684.0</v>
      </c>
      <c r="B290" s="3" t="s">
        <v>5</v>
      </c>
      <c r="C290" s="3">
        <v>3.0</v>
      </c>
      <c r="D290" s="3" t="s">
        <v>6</v>
      </c>
      <c r="E290" s="3">
        <v>21.0</v>
      </c>
    </row>
    <row r="291" ht="15.75" customHeight="1">
      <c r="A291" s="2">
        <v>45684.0</v>
      </c>
      <c r="B291" s="3" t="s">
        <v>5</v>
      </c>
      <c r="C291" s="3">
        <v>1.0</v>
      </c>
      <c r="D291" s="3" t="s">
        <v>6</v>
      </c>
      <c r="E291" s="3">
        <v>15.0</v>
      </c>
    </row>
    <row r="292" ht="15.75" customHeight="1">
      <c r="A292" s="2">
        <v>45679.0</v>
      </c>
      <c r="B292" s="3" t="s">
        <v>5</v>
      </c>
      <c r="C292" s="3">
        <v>4.0</v>
      </c>
      <c r="D292" s="3" t="s">
        <v>6</v>
      </c>
      <c r="E292" s="3">
        <v>32.0</v>
      </c>
    </row>
    <row r="293" ht="15.75" customHeight="1">
      <c r="A293" s="2">
        <v>45675.0</v>
      </c>
      <c r="B293" s="3" t="s">
        <v>5</v>
      </c>
      <c r="C293" s="3">
        <v>2.0</v>
      </c>
      <c r="D293" s="3" t="s">
        <v>6</v>
      </c>
      <c r="E293" s="3">
        <v>15.0</v>
      </c>
    </row>
    <row r="294" ht="15.75" customHeight="1">
      <c r="A294" s="2">
        <v>45664.0</v>
      </c>
      <c r="B294" s="3" t="s">
        <v>7</v>
      </c>
      <c r="C294" s="3">
        <v>2.0</v>
      </c>
      <c r="D294" s="3" t="s">
        <v>6</v>
      </c>
      <c r="E294" s="3">
        <v>5.0</v>
      </c>
    </row>
    <row r="295" ht="15.75" customHeight="1">
      <c r="A295" s="2">
        <v>45672.0</v>
      </c>
      <c r="B295" s="3" t="s">
        <v>9</v>
      </c>
      <c r="C295" s="3">
        <v>4.0</v>
      </c>
      <c r="D295" s="3" t="s">
        <v>6</v>
      </c>
      <c r="E295" s="3">
        <v>35.0</v>
      </c>
    </row>
    <row r="296" ht="15.75" customHeight="1">
      <c r="A296" s="2">
        <v>45667.0</v>
      </c>
      <c r="B296" s="3" t="s">
        <v>9</v>
      </c>
      <c r="C296" s="3">
        <v>5.0</v>
      </c>
      <c r="D296" s="3" t="s">
        <v>6</v>
      </c>
      <c r="E296" s="3">
        <v>29.0</v>
      </c>
    </row>
    <row r="297" ht="15.75" customHeight="1">
      <c r="A297" s="2">
        <v>45672.0</v>
      </c>
      <c r="B297" s="3" t="s">
        <v>11</v>
      </c>
      <c r="C297" s="3">
        <v>3.0</v>
      </c>
      <c r="D297" s="3" t="s">
        <v>6</v>
      </c>
      <c r="E297" s="3">
        <v>25.0</v>
      </c>
    </row>
    <row r="298" ht="15.75" customHeight="1">
      <c r="A298" s="2">
        <v>45669.0</v>
      </c>
      <c r="B298" s="3" t="s">
        <v>9</v>
      </c>
      <c r="C298" s="3">
        <v>1.0</v>
      </c>
      <c r="D298" s="3" t="s">
        <v>6</v>
      </c>
      <c r="E298" s="3">
        <v>17.0</v>
      </c>
    </row>
    <row r="299" ht="15.75" customHeight="1">
      <c r="A299" s="2">
        <v>45675.0</v>
      </c>
      <c r="B299" s="3" t="s">
        <v>5</v>
      </c>
      <c r="C299" s="3">
        <v>1.0</v>
      </c>
      <c r="D299" s="3" t="s">
        <v>6</v>
      </c>
      <c r="E299" s="3">
        <v>27.0</v>
      </c>
    </row>
    <row r="300" ht="15.75" customHeight="1">
      <c r="A300" s="2">
        <v>45671.0</v>
      </c>
      <c r="B300" s="3" t="s">
        <v>11</v>
      </c>
      <c r="C300" s="3">
        <v>4.0</v>
      </c>
      <c r="D300" s="3" t="s">
        <v>8</v>
      </c>
      <c r="E300" s="3">
        <v>25.0</v>
      </c>
    </row>
    <row r="301" ht="15.75" customHeight="1">
      <c r="A301" s="2">
        <v>45664.0</v>
      </c>
      <c r="B301" s="3" t="s">
        <v>10</v>
      </c>
      <c r="C301" s="3">
        <v>1.0</v>
      </c>
      <c r="D301" s="3" t="s">
        <v>8</v>
      </c>
      <c r="E301" s="3">
        <v>17.0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5" max="5" width="24.0"/>
    <col customWidth="1" min="6" max="6" width="15.29"/>
  </cols>
  <sheetData>
    <row r="1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</row>
    <row r="2">
      <c r="A2" s="5">
        <f>raw_csat!A2</f>
        <v>45671</v>
      </c>
      <c r="B2" s="3" t="str">
        <f>raw_csat!B2</f>
        <v>Telefone</v>
      </c>
      <c r="C2" s="3">
        <f>raw_csat!C2</f>
        <v>5</v>
      </c>
      <c r="D2" s="3">
        <f>IF(raw_csat!C2&gt;=4,1,0)
</f>
        <v>1</v>
      </c>
      <c r="E2" s="3">
        <f>raw_csat!E2</f>
        <v>11</v>
      </c>
      <c r="F2" s="3" t="str">
        <f t="shared" ref="F2:F301" si="1">IF(E2&lt;=5,"Até 5 min",IF(E2&lt;=10,"6 a 10 min",IF(E2&lt;=20,"11 a 20 min","Acima de 20 min")))
</f>
        <v>11 a 20 min</v>
      </c>
    </row>
    <row r="3">
      <c r="A3" s="5">
        <f>raw_csat!A3</f>
        <v>45667</v>
      </c>
      <c r="B3" s="3" t="str">
        <f>raw_csat!B3</f>
        <v>WhatsApp</v>
      </c>
      <c r="C3" s="3">
        <f>raw_csat!C3</f>
        <v>3</v>
      </c>
      <c r="D3" s="3">
        <f>IF(raw_csat!C3&gt;=4,1,0)
</f>
        <v>0</v>
      </c>
      <c r="E3" s="3">
        <f>raw_csat!E3</f>
        <v>33</v>
      </c>
      <c r="F3" s="3" t="str">
        <f t="shared" si="1"/>
        <v>Acima de 20 min</v>
      </c>
    </row>
    <row r="4">
      <c r="A4" s="5">
        <f>raw_csat!A4</f>
        <v>45674</v>
      </c>
      <c r="B4" s="3" t="str">
        <f>raw_csat!B4</f>
        <v>WhatsApp</v>
      </c>
      <c r="C4" s="3">
        <f>raw_csat!C4</f>
        <v>5</v>
      </c>
      <c r="D4" s="3">
        <f>IF(raw_csat!C4&gt;=4,1,0)
</f>
        <v>1</v>
      </c>
      <c r="E4" s="3">
        <f>raw_csat!E4</f>
        <v>26</v>
      </c>
      <c r="F4" s="3" t="str">
        <f t="shared" si="1"/>
        <v>Acima de 20 min</v>
      </c>
    </row>
    <row r="5">
      <c r="A5" s="5">
        <f>raw_csat!A5</f>
        <v>45677</v>
      </c>
      <c r="B5" s="3" t="str">
        <f>raw_csat!B5</f>
        <v>Telefone</v>
      </c>
      <c r="C5" s="3">
        <f>raw_csat!C5</f>
        <v>1</v>
      </c>
      <c r="D5" s="3">
        <f>IF(raw_csat!C5&gt;=4,1,0)
</f>
        <v>0</v>
      </c>
      <c r="E5" s="3">
        <f>raw_csat!E5</f>
        <v>13</v>
      </c>
      <c r="F5" s="3" t="str">
        <f t="shared" si="1"/>
        <v>11 a 20 min</v>
      </c>
    </row>
    <row r="6">
      <c r="A6" s="5">
        <f>raw_csat!A6</f>
        <v>45681</v>
      </c>
      <c r="B6" s="3" t="str">
        <f>raw_csat!B6</f>
        <v>Chat</v>
      </c>
      <c r="C6" s="3">
        <f>raw_csat!C6</f>
        <v>4</v>
      </c>
      <c r="D6" s="3">
        <f>IF(raw_csat!C6&gt;=4,1,0)
</f>
        <v>1</v>
      </c>
      <c r="E6" s="3">
        <f>raw_csat!E6</f>
        <v>33</v>
      </c>
      <c r="F6" s="3" t="str">
        <f t="shared" si="1"/>
        <v>Acima de 20 min</v>
      </c>
    </row>
    <row r="7">
      <c r="A7" s="5">
        <f>raw_csat!A7</f>
        <v>45667</v>
      </c>
      <c r="B7" s="3" t="str">
        <f>raw_csat!B7</f>
        <v>Chat</v>
      </c>
      <c r="C7" s="3">
        <f>raw_csat!C7</f>
        <v>1</v>
      </c>
      <c r="D7" s="3">
        <f>IF(raw_csat!C7&gt;=4,1,0)
</f>
        <v>0</v>
      </c>
      <c r="E7" s="3">
        <f>raw_csat!E7</f>
        <v>39</v>
      </c>
      <c r="F7" s="3" t="str">
        <f t="shared" si="1"/>
        <v>Acima de 20 min</v>
      </c>
    </row>
    <row r="8">
      <c r="A8" s="5">
        <f>raw_csat!A8</f>
        <v>45686</v>
      </c>
      <c r="B8" s="3" t="str">
        <f>raw_csat!B8</f>
        <v>E-mail</v>
      </c>
      <c r="C8" s="3">
        <f>raw_csat!C8</f>
        <v>5</v>
      </c>
      <c r="D8" s="3">
        <f>IF(raw_csat!C8&gt;=4,1,0)
</f>
        <v>1</v>
      </c>
      <c r="E8" s="3">
        <f>raw_csat!E8</f>
        <v>7</v>
      </c>
      <c r="F8" s="3" t="str">
        <f t="shared" si="1"/>
        <v>6 a 10 min</v>
      </c>
    </row>
    <row r="9">
      <c r="A9" s="5">
        <f>raw_csat!A9</f>
        <v>45676</v>
      </c>
      <c r="B9" s="3" t="str">
        <f>raw_csat!B9</f>
        <v>Chat</v>
      </c>
      <c r="C9" s="3">
        <f>raw_csat!C9</f>
        <v>4</v>
      </c>
      <c r="D9" s="3">
        <f>IF(raw_csat!C9&gt;=4,1,0)
</f>
        <v>1</v>
      </c>
      <c r="E9" s="3">
        <f>raw_csat!E9</f>
        <v>10</v>
      </c>
      <c r="F9" s="3" t="str">
        <f t="shared" si="1"/>
        <v>6 a 10 min</v>
      </c>
    </row>
    <row r="10">
      <c r="A10" s="5">
        <f>raw_csat!A10</f>
        <v>45658</v>
      </c>
      <c r="B10" s="3" t="str">
        <f>raw_csat!B10</f>
        <v>Chat</v>
      </c>
      <c r="C10" s="3">
        <f>raw_csat!C10</f>
        <v>3</v>
      </c>
      <c r="D10" s="3">
        <f>IF(raw_csat!C10&gt;=4,1,0)
</f>
        <v>0</v>
      </c>
      <c r="E10" s="3">
        <f>raw_csat!E10</f>
        <v>27</v>
      </c>
      <c r="F10" s="3" t="str">
        <f t="shared" si="1"/>
        <v>Acima de 20 min</v>
      </c>
    </row>
    <row r="11">
      <c r="A11" s="5">
        <f>raw_csat!A11</f>
        <v>45686</v>
      </c>
      <c r="B11" s="3" t="str">
        <f>raw_csat!B11</f>
        <v>Chat</v>
      </c>
      <c r="C11" s="3">
        <f>raw_csat!C11</f>
        <v>4</v>
      </c>
      <c r="D11" s="3">
        <f>IF(raw_csat!C11&gt;=4,1,0)
</f>
        <v>1</v>
      </c>
      <c r="E11" s="3">
        <f>raw_csat!E11</f>
        <v>22</v>
      </c>
      <c r="F11" s="3" t="str">
        <f t="shared" si="1"/>
        <v>Acima de 20 min</v>
      </c>
    </row>
    <row r="12">
      <c r="A12" s="5">
        <f>raw_csat!A12</f>
        <v>45678</v>
      </c>
      <c r="B12" s="3" t="str">
        <f>raw_csat!B12</f>
        <v>Chat</v>
      </c>
      <c r="C12" s="3">
        <f>raw_csat!C12</f>
        <v>3</v>
      </c>
      <c r="D12" s="3">
        <f>IF(raw_csat!C12&gt;=4,1,0)
</f>
        <v>0</v>
      </c>
      <c r="E12" s="3">
        <f>raw_csat!E12</f>
        <v>26</v>
      </c>
      <c r="F12" s="3" t="str">
        <f t="shared" si="1"/>
        <v>Acima de 20 min</v>
      </c>
    </row>
    <row r="13">
      <c r="A13" s="5">
        <f>raw_csat!A13</f>
        <v>45666</v>
      </c>
      <c r="B13" s="3" t="str">
        <f>raw_csat!B13</f>
        <v>E-mail</v>
      </c>
      <c r="C13" s="3">
        <f>raw_csat!C13</f>
        <v>2</v>
      </c>
      <c r="D13" s="3">
        <f>IF(raw_csat!C13&gt;=4,1,0)
</f>
        <v>0</v>
      </c>
      <c r="E13" s="3">
        <f>raw_csat!E13</f>
        <v>15</v>
      </c>
      <c r="F13" s="3" t="str">
        <f t="shared" si="1"/>
        <v>11 a 20 min</v>
      </c>
    </row>
    <row r="14">
      <c r="A14" s="5">
        <f>raw_csat!A14</f>
        <v>45669</v>
      </c>
      <c r="B14" s="3" t="str">
        <f>raw_csat!B14</f>
        <v>Bot</v>
      </c>
      <c r="C14" s="3">
        <f>raw_csat!C14</f>
        <v>1</v>
      </c>
      <c r="D14" s="3">
        <f>IF(raw_csat!C14&gt;=4,1,0)
</f>
        <v>0</v>
      </c>
      <c r="E14" s="3">
        <f>raw_csat!E14</f>
        <v>11</v>
      </c>
      <c r="F14" s="3" t="str">
        <f t="shared" si="1"/>
        <v>11 a 20 min</v>
      </c>
    </row>
    <row r="15">
      <c r="A15" s="5">
        <f>raw_csat!A15</f>
        <v>45685</v>
      </c>
      <c r="B15" s="3" t="str">
        <f>raw_csat!B15</f>
        <v>E-mail</v>
      </c>
      <c r="C15" s="3">
        <f>raw_csat!C15</f>
        <v>4</v>
      </c>
      <c r="D15" s="3">
        <f>IF(raw_csat!C15&gt;=4,1,0)
</f>
        <v>1</v>
      </c>
      <c r="E15" s="3">
        <f>raw_csat!E15</f>
        <v>43</v>
      </c>
      <c r="F15" s="3" t="str">
        <f t="shared" si="1"/>
        <v>Acima de 20 min</v>
      </c>
    </row>
    <row r="16">
      <c r="A16" s="5">
        <f>raw_csat!A16</f>
        <v>45661</v>
      </c>
      <c r="B16" s="3" t="str">
        <f>raw_csat!B16</f>
        <v>Telefone</v>
      </c>
      <c r="C16" s="3">
        <f>raw_csat!C16</f>
        <v>3</v>
      </c>
      <c r="D16" s="3">
        <f>IF(raw_csat!C16&gt;=4,1,0)
</f>
        <v>0</v>
      </c>
      <c r="E16" s="3">
        <f>raw_csat!E16</f>
        <v>27</v>
      </c>
      <c r="F16" s="3" t="str">
        <f t="shared" si="1"/>
        <v>Acima de 20 min</v>
      </c>
    </row>
    <row r="17">
      <c r="A17" s="5">
        <f>raw_csat!A17</f>
        <v>45662</v>
      </c>
      <c r="B17" s="3" t="str">
        <f>raw_csat!B17</f>
        <v>Telefone</v>
      </c>
      <c r="C17" s="3">
        <f>raw_csat!C17</f>
        <v>5</v>
      </c>
      <c r="D17" s="3">
        <f>IF(raw_csat!C17&gt;=4,1,0)
</f>
        <v>1</v>
      </c>
      <c r="E17" s="3">
        <f>raw_csat!E17</f>
        <v>44</v>
      </c>
      <c r="F17" s="3" t="str">
        <f t="shared" si="1"/>
        <v>Acima de 20 min</v>
      </c>
    </row>
    <row r="18">
      <c r="A18" s="5">
        <f>raw_csat!A18</f>
        <v>45681</v>
      </c>
      <c r="B18" s="3" t="str">
        <f>raw_csat!B18</f>
        <v>Chat</v>
      </c>
      <c r="C18" s="3">
        <f>raw_csat!C18</f>
        <v>4</v>
      </c>
      <c r="D18" s="3">
        <f>IF(raw_csat!C18&gt;=4,1,0)
</f>
        <v>1</v>
      </c>
      <c r="E18" s="3">
        <f>raw_csat!E18</f>
        <v>27</v>
      </c>
      <c r="F18" s="3" t="str">
        <f t="shared" si="1"/>
        <v>Acima de 20 min</v>
      </c>
    </row>
    <row r="19">
      <c r="A19" s="5">
        <f>raw_csat!A19</f>
        <v>45673</v>
      </c>
      <c r="B19" s="3" t="str">
        <f>raw_csat!B19</f>
        <v>Telefone</v>
      </c>
      <c r="C19" s="3">
        <f>raw_csat!C19</f>
        <v>5</v>
      </c>
      <c r="D19" s="3">
        <f>IF(raw_csat!C19&gt;=4,1,0)
</f>
        <v>1</v>
      </c>
      <c r="E19" s="3">
        <f>raw_csat!E19</f>
        <v>17</v>
      </c>
      <c r="F19" s="3" t="str">
        <f t="shared" si="1"/>
        <v>11 a 20 min</v>
      </c>
    </row>
    <row r="20">
      <c r="A20" s="5">
        <f>raw_csat!A20</f>
        <v>45685</v>
      </c>
      <c r="B20" s="3" t="str">
        <f>raw_csat!B20</f>
        <v>Telefone</v>
      </c>
      <c r="C20" s="3">
        <f>raw_csat!C20</f>
        <v>5</v>
      </c>
      <c r="D20" s="3">
        <f>IF(raw_csat!C20&gt;=4,1,0)
</f>
        <v>1</v>
      </c>
      <c r="E20" s="3">
        <f>raw_csat!E20</f>
        <v>9</v>
      </c>
      <c r="F20" s="3" t="str">
        <f t="shared" si="1"/>
        <v>6 a 10 min</v>
      </c>
    </row>
    <row r="21">
      <c r="A21" s="5">
        <f>raw_csat!A21</f>
        <v>45670</v>
      </c>
      <c r="B21" s="3" t="str">
        <f>raw_csat!B21</f>
        <v>Telefone</v>
      </c>
      <c r="C21" s="3">
        <f>raw_csat!C21</f>
        <v>5</v>
      </c>
      <c r="D21" s="3">
        <f>IF(raw_csat!C21&gt;=4,1,0)
</f>
        <v>1</v>
      </c>
      <c r="E21" s="3">
        <f>raw_csat!E21</f>
        <v>23</v>
      </c>
      <c r="F21" s="3" t="str">
        <f t="shared" si="1"/>
        <v>Acima de 20 min</v>
      </c>
    </row>
    <row r="22">
      <c r="A22" s="5">
        <f>raw_csat!A22</f>
        <v>45667</v>
      </c>
      <c r="B22" s="3" t="str">
        <f>raw_csat!B22</f>
        <v>Telefone</v>
      </c>
      <c r="C22" s="3">
        <f>raw_csat!C22</f>
        <v>2</v>
      </c>
      <c r="D22" s="3">
        <f>IF(raw_csat!C22&gt;=4,1,0)
</f>
        <v>0</v>
      </c>
      <c r="E22" s="3">
        <f>raw_csat!E22</f>
        <v>44</v>
      </c>
      <c r="F22" s="3" t="str">
        <f t="shared" si="1"/>
        <v>Acima de 20 min</v>
      </c>
    </row>
    <row r="23">
      <c r="A23" s="5">
        <f>raw_csat!A23</f>
        <v>45658</v>
      </c>
      <c r="B23" s="3" t="str">
        <f>raw_csat!B23</f>
        <v>Telefone</v>
      </c>
      <c r="C23" s="3">
        <f>raw_csat!C23</f>
        <v>4</v>
      </c>
      <c r="D23" s="3">
        <f>IF(raw_csat!C23&gt;=4,1,0)
</f>
        <v>1</v>
      </c>
      <c r="E23" s="3">
        <f>raw_csat!E23</f>
        <v>3</v>
      </c>
      <c r="F23" s="3" t="str">
        <f t="shared" si="1"/>
        <v>Até 5 min</v>
      </c>
    </row>
    <row r="24">
      <c r="A24" s="5">
        <f>raw_csat!A24</f>
        <v>45670</v>
      </c>
      <c r="B24" s="3" t="str">
        <f>raw_csat!B24</f>
        <v>E-mail</v>
      </c>
      <c r="C24" s="3">
        <f>raw_csat!C24</f>
        <v>2</v>
      </c>
      <c r="D24" s="3">
        <f>IF(raw_csat!C24&gt;=4,1,0)
</f>
        <v>0</v>
      </c>
      <c r="E24" s="3">
        <f>raw_csat!E24</f>
        <v>2</v>
      </c>
      <c r="F24" s="3" t="str">
        <f t="shared" si="1"/>
        <v>Até 5 min</v>
      </c>
    </row>
    <row r="25">
      <c r="A25" s="5">
        <f>raw_csat!A25</f>
        <v>45671</v>
      </c>
      <c r="B25" s="3" t="str">
        <f>raw_csat!B25</f>
        <v>Bot</v>
      </c>
      <c r="C25" s="3">
        <f>raw_csat!C25</f>
        <v>1</v>
      </c>
      <c r="D25" s="3">
        <f>IF(raw_csat!C25&gt;=4,1,0)
</f>
        <v>0</v>
      </c>
      <c r="E25" s="3">
        <f>raw_csat!E25</f>
        <v>25</v>
      </c>
      <c r="F25" s="3" t="str">
        <f t="shared" si="1"/>
        <v>Acima de 20 min</v>
      </c>
    </row>
    <row r="26">
      <c r="A26" s="5">
        <f>raw_csat!A26</f>
        <v>45665</v>
      </c>
      <c r="B26" s="3" t="str">
        <f>raw_csat!B26</f>
        <v>Bot</v>
      </c>
      <c r="C26" s="3">
        <f>raw_csat!C26</f>
        <v>1</v>
      </c>
      <c r="D26" s="3">
        <f>IF(raw_csat!C26&gt;=4,1,0)
</f>
        <v>0</v>
      </c>
      <c r="E26" s="3">
        <f>raw_csat!E26</f>
        <v>33</v>
      </c>
      <c r="F26" s="3" t="str">
        <f t="shared" si="1"/>
        <v>Acima de 20 min</v>
      </c>
    </row>
    <row r="27">
      <c r="A27" s="5">
        <f>raw_csat!A27</f>
        <v>45687</v>
      </c>
      <c r="B27" s="3" t="str">
        <f>raw_csat!B27</f>
        <v>WhatsApp</v>
      </c>
      <c r="C27" s="3">
        <f>raw_csat!C27</f>
        <v>4</v>
      </c>
      <c r="D27" s="3">
        <f>IF(raw_csat!C27&gt;=4,1,0)
</f>
        <v>1</v>
      </c>
      <c r="E27" s="3">
        <f>raw_csat!E27</f>
        <v>23</v>
      </c>
      <c r="F27" s="3" t="str">
        <f t="shared" si="1"/>
        <v>Acima de 20 min</v>
      </c>
    </row>
    <row r="28">
      <c r="A28" s="5">
        <f>raw_csat!A28</f>
        <v>45665</v>
      </c>
      <c r="B28" s="3" t="str">
        <f>raw_csat!B28</f>
        <v>WhatsApp</v>
      </c>
      <c r="C28" s="3">
        <f>raw_csat!C28</f>
        <v>2</v>
      </c>
      <c r="D28" s="3">
        <f>IF(raw_csat!C28&gt;=4,1,0)
</f>
        <v>0</v>
      </c>
      <c r="E28" s="3">
        <f>raw_csat!E28</f>
        <v>3</v>
      </c>
      <c r="F28" s="3" t="str">
        <f t="shared" si="1"/>
        <v>Até 5 min</v>
      </c>
    </row>
    <row r="29">
      <c r="A29" s="5">
        <f>raw_csat!A29</f>
        <v>45663</v>
      </c>
      <c r="B29" s="3" t="str">
        <f>raw_csat!B29</f>
        <v>Telefone</v>
      </c>
      <c r="C29" s="3">
        <f>raw_csat!C29</f>
        <v>5</v>
      </c>
      <c r="D29" s="3">
        <f>IF(raw_csat!C29&gt;=4,1,0)
</f>
        <v>1</v>
      </c>
      <c r="E29" s="3">
        <f>raw_csat!E29</f>
        <v>5</v>
      </c>
      <c r="F29" s="3" t="str">
        <f t="shared" si="1"/>
        <v>Até 5 min</v>
      </c>
    </row>
    <row r="30">
      <c r="A30" s="5">
        <f>raw_csat!A30</f>
        <v>45677</v>
      </c>
      <c r="B30" s="3" t="str">
        <f>raw_csat!B30</f>
        <v>E-mail</v>
      </c>
      <c r="C30" s="3">
        <f>raw_csat!C30</f>
        <v>4</v>
      </c>
      <c r="D30" s="3">
        <f>IF(raw_csat!C30&gt;=4,1,0)
</f>
        <v>1</v>
      </c>
      <c r="E30" s="3">
        <f>raw_csat!E30</f>
        <v>30</v>
      </c>
      <c r="F30" s="3" t="str">
        <f t="shared" si="1"/>
        <v>Acima de 20 min</v>
      </c>
    </row>
    <row r="31">
      <c r="A31" s="5">
        <f>raw_csat!A31</f>
        <v>45684</v>
      </c>
      <c r="B31" s="3" t="str">
        <f>raw_csat!B31</f>
        <v>Telefone</v>
      </c>
      <c r="C31" s="3">
        <f>raw_csat!C31</f>
        <v>4</v>
      </c>
      <c r="D31" s="3">
        <f>IF(raw_csat!C31&gt;=4,1,0)
</f>
        <v>1</v>
      </c>
      <c r="E31" s="3">
        <f>raw_csat!E31</f>
        <v>18</v>
      </c>
      <c r="F31" s="3" t="str">
        <f t="shared" si="1"/>
        <v>11 a 20 min</v>
      </c>
    </row>
    <row r="32">
      <c r="A32" s="5">
        <f>raw_csat!A32</f>
        <v>45661</v>
      </c>
      <c r="B32" s="3" t="str">
        <f>raw_csat!B32</f>
        <v>E-mail</v>
      </c>
      <c r="C32" s="3">
        <f>raw_csat!C32</f>
        <v>5</v>
      </c>
      <c r="D32" s="3">
        <f>IF(raw_csat!C32&gt;=4,1,0)
</f>
        <v>1</v>
      </c>
      <c r="E32" s="3">
        <f>raw_csat!E32</f>
        <v>10</v>
      </c>
      <c r="F32" s="3" t="str">
        <f t="shared" si="1"/>
        <v>6 a 10 min</v>
      </c>
    </row>
    <row r="33">
      <c r="A33" s="5">
        <f>raw_csat!A33</f>
        <v>45663</v>
      </c>
      <c r="B33" s="3" t="str">
        <f>raw_csat!B33</f>
        <v>E-mail</v>
      </c>
      <c r="C33" s="3">
        <f>raw_csat!C33</f>
        <v>3</v>
      </c>
      <c r="D33" s="3">
        <f>IF(raw_csat!C33&gt;=4,1,0)
</f>
        <v>0</v>
      </c>
      <c r="E33" s="3">
        <f>raw_csat!E33</f>
        <v>12</v>
      </c>
      <c r="F33" s="3" t="str">
        <f t="shared" si="1"/>
        <v>11 a 20 min</v>
      </c>
    </row>
    <row r="34">
      <c r="A34" s="5">
        <f>raw_csat!A34</f>
        <v>45668</v>
      </c>
      <c r="B34" s="3" t="str">
        <f>raw_csat!B34</f>
        <v>WhatsApp</v>
      </c>
      <c r="C34" s="3">
        <f>raw_csat!C34</f>
        <v>2</v>
      </c>
      <c r="D34" s="3">
        <f>IF(raw_csat!C34&gt;=4,1,0)
</f>
        <v>0</v>
      </c>
      <c r="E34" s="3">
        <f>raw_csat!E34</f>
        <v>26</v>
      </c>
      <c r="F34" s="3" t="str">
        <f t="shared" si="1"/>
        <v>Acima de 20 min</v>
      </c>
    </row>
    <row r="35">
      <c r="A35" s="5">
        <f>raw_csat!A35</f>
        <v>45685</v>
      </c>
      <c r="B35" s="3" t="str">
        <f>raw_csat!B35</f>
        <v>E-mail</v>
      </c>
      <c r="C35" s="3">
        <f>raw_csat!C35</f>
        <v>5</v>
      </c>
      <c r="D35" s="3">
        <f>IF(raw_csat!C35&gt;=4,1,0)
</f>
        <v>1</v>
      </c>
      <c r="E35" s="3">
        <f>raw_csat!E35</f>
        <v>30</v>
      </c>
      <c r="F35" s="3" t="str">
        <f t="shared" si="1"/>
        <v>Acima de 20 min</v>
      </c>
    </row>
    <row r="36">
      <c r="A36" s="5">
        <f>raw_csat!A36</f>
        <v>45673</v>
      </c>
      <c r="B36" s="3" t="str">
        <f>raw_csat!B36</f>
        <v>WhatsApp</v>
      </c>
      <c r="C36" s="3">
        <f>raw_csat!C36</f>
        <v>2</v>
      </c>
      <c r="D36" s="3">
        <f>IF(raw_csat!C36&gt;=4,1,0)
</f>
        <v>0</v>
      </c>
      <c r="E36" s="3">
        <f>raw_csat!E36</f>
        <v>30</v>
      </c>
      <c r="F36" s="3" t="str">
        <f t="shared" si="1"/>
        <v>Acima de 20 min</v>
      </c>
    </row>
    <row r="37">
      <c r="A37" s="5">
        <f>raw_csat!A37</f>
        <v>45666</v>
      </c>
      <c r="B37" s="3" t="str">
        <f>raw_csat!B37</f>
        <v>Chat</v>
      </c>
      <c r="C37" s="3">
        <f>raw_csat!C37</f>
        <v>2</v>
      </c>
      <c r="D37" s="3">
        <f>IF(raw_csat!C37&gt;=4,1,0)
</f>
        <v>0</v>
      </c>
      <c r="E37" s="3">
        <f>raw_csat!E37</f>
        <v>31</v>
      </c>
      <c r="F37" s="3" t="str">
        <f t="shared" si="1"/>
        <v>Acima de 20 min</v>
      </c>
    </row>
    <row r="38">
      <c r="A38" s="5">
        <f>raw_csat!A38</f>
        <v>45687</v>
      </c>
      <c r="B38" s="3" t="str">
        <f>raw_csat!B38</f>
        <v>E-mail</v>
      </c>
      <c r="C38" s="3">
        <f>raw_csat!C38</f>
        <v>2</v>
      </c>
      <c r="D38" s="3">
        <f>IF(raw_csat!C38&gt;=4,1,0)
</f>
        <v>0</v>
      </c>
      <c r="E38" s="3">
        <f>raw_csat!E38</f>
        <v>44</v>
      </c>
      <c r="F38" s="3" t="str">
        <f t="shared" si="1"/>
        <v>Acima de 20 min</v>
      </c>
    </row>
    <row r="39">
      <c r="A39" s="5">
        <f>raw_csat!A39</f>
        <v>45661</v>
      </c>
      <c r="B39" s="3" t="str">
        <f>raw_csat!B39</f>
        <v>Chat</v>
      </c>
      <c r="C39" s="3">
        <f>raw_csat!C39</f>
        <v>5</v>
      </c>
      <c r="D39" s="3">
        <f>IF(raw_csat!C39&gt;=4,1,0)
</f>
        <v>1</v>
      </c>
      <c r="E39" s="3">
        <f>raw_csat!E39</f>
        <v>26</v>
      </c>
      <c r="F39" s="3" t="str">
        <f t="shared" si="1"/>
        <v>Acima de 20 min</v>
      </c>
    </row>
    <row r="40">
      <c r="A40" s="5">
        <f>raw_csat!A40</f>
        <v>45681</v>
      </c>
      <c r="B40" s="3" t="str">
        <f>raw_csat!B40</f>
        <v>Bot</v>
      </c>
      <c r="C40" s="3">
        <f>raw_csat!C40</f>
        <v>3</v>
      </c>
      <c r="D40" s="3">
        <f>IF(raw_csat!C40&gt;=4,1,0)
</f>
        <v>0</v>
      </c>
      <c r="E40" s="3">
        <f>raw_csat!E40</f>
        <v>22</v>
      </c>
      <c r="F40" s="3" t="str">
        <f t="shared" si="1"/>
        <v>Acima de 20 min</v>
      </c>
    </row>
    <row r="41">
      <c r="A41" s="5">
        <f>raw_csat!A41</f>
        <v>45686</v>
      </c>
      <c r="B41" s="3" t="str">
        <f>raw_csat!B41</f>
        <v>Telefone</v>
      </c>
      <c r="C41" s="3">
        <f>raw_csat!C41</f>
        <v>1</v>
      </c>
      <c r="D41" s="3">
        <f>IF(raw_csat!C41&gt;=4,1,0)
</f>
        <v>0</v>
      </c>
      <c r="E41" s="3">
        <f>raw_csat!E41</f>
        <v>26</v>
      </c>
      <c r="F41" s="3" t="str">
        <f t="shared" si="1"/>
        <v>Acima de 20 min</v>
      </c>
    </row>
    <row r="42">
      <c r="A42" s="5">
        <f>raw_csat!A42</f>
        <v>45683</v>
      </c>
      <c r="B42" s="3" t="str">
        <f>raw_csat!B42</f>
        <v>Bot</v>
      </c>
      <c r="C42" s="3">
        <f>raw_csat!C42</f>
        <v>4</v>
      </c>
      <c r="D42" s="3">
        <f>IF(raw_csat!C42&gt;=4,1,0)
</f>
        <v>1</v>
      </c>
      <c r="E42" s="3">
        <f>raw_csat!E42</f>
        <v>15</v>
      </c>
      <c r="F42" s="3" t="str">
        <f t="shared" si="1"/>
        <v>11 a 20 min</v>
      </c>
    </row>
    <row r="43">
      <c r="A43" s="5">
        <f>raw_csat!A43</f>
        <v>45669</v>
      </c>
      <c r="B43" s="3" t="str">
        <f>raw_csat!B43</f>
        <v>Bot</v>
      </c>
      <c r="C43" s="3">
        <f>raw_csat!C43</f>
        <v>4</v>
      </c>
      <c r="D43" s="3">
        <f>IF(raw_csat!C43&gt;=4,1,0)
</f>
        <v>1</v>
      </c>
      <c r="E43" s="3">
        <f>raw_csat!E43</f>
        <v>42</v>
      </c>
      <c r="F43" s="3" t="str">
        <f t="shared" si="1"/>
        <v>Acima de 20 min</v>
      </c>
    </row>
    <row r="44">
      <c r="A44" s="5">
        <f>raw_csat!A44</f>
        <v>45663</v>
      </c>
      <c r="B44" s="3" t="str">
        <f>raw_csat!B44</f>
        <v>Chat</v>
      </c>
      <c r="C44" s="3">
        <f>raw_csat!C44</f>
        <v>2</v>
      </c>
      <c r="D44" s="3">
        <f>IF(raw_csat!C44&gt;=4,1,0)
</f>
        <v>0</v>
      </c>
      <c r="E44" s="3">
        <f>raw_csat!E44</f>
        <v>6</v>
      </c>
      <c r="F44" s="3" t="str">
        <f t="shared" si="1"/>
        <v>6 a 10 min</v>
      </c>
    </row>
    <row r="45">
      <c r="A45" s="5">
        <f>raw_csat!A45</f>
        <v>45672</v>
      </c>
      <c r="B45" s="3" t="str">
        <f>raw_csat!B45</f>
        <v>WhatsApp</v>
      </c>
      <c r="C45" s="3">
        <f>raw_csat!C45</f>
        <v>5</v>
      </c>
      <c r="D45" s="3">
        <f>IF(raw_csat!C45&gt;=4,1,0)
</f>
        <v>1</v>
      </c>
      <c r="E45" s="3">
        <f>raw_csat!E45</f>
        <v>12</v>
      </c>
      <c r="F45" s="3" t="str">
        <f t="shared" si="1"/>
        <v>11 a 20 min</v>
      </c>
    </row>
    <row r="46">
      <c r="A46" s="5">
        <f>raw_csat!A46</f>
        <v>45687</v>
      </c>
      <c r="B46" s="3" t="str">
        <f>raw_csat!B46</f>
        <v>E-mail</v>
      </c>
      <c r="C46" s="3">
        <f>raw_csat!C46</f>
        <v>4</v>
      </c>
      <c r="D46" s="3">
        <f>IF(raw_csat!C46&gt;=4,1,0)
</f>
        <v>1</v>
      </c>
      <c r="E46" s="3">
        <f>raw_csat!E46</f>
        <v>13</v>
      </c>
      <c r="F46" s="3" t="str">
        <f t="shared" si="1"/>
        <v>11 a 20 min</v>
      </c>
    </row>
    <row r="47">
      <c r="A47" s="5">
        <f>raw_csat!A47</f>
        <v>45684</v>
      </c>
      <c r="B47" s="3" t="str">
        <f>raw_csat!B47</f>
        <v>Telefone</v>
      </c>
      <c r="C47" s="3">
        <f>raw_csat!C47</f>
        <v>3</v>
      </c>
      <c r="D47" s="3">
        <f>IF(raw_csat!C47&gt;=4,1,0)
</f>
        <v>0</v>
      </c>
      <c r="E47" s="3">
        <f>raw_csat!E47</f>
        <v>23</v>
      </c>
      <c r="F47" s="3" t="str">
        <f t="shared" si="1"/>
        <v>Acima de 20 min</v>
      </c>
    </row>
    <row r="48">
      <c r="A48" s="5">
        <f>raw_csat!A48</f>
        <v>45687</v>
      </c>
      <c r="B48" s="3" t="str">
        <f>raw_csat!B48</f>
        <v>E-mail</v>
      </c>
      <c r="C48" s="3">
        <f>raw_csat!C48</f>
        <v>1</v>
      </c>
      <c r="D48" s="3">
        <f>IF(raw_csat!C48&gt;=4,1,0)
</f>
        <v>0</v>
      </c>
      <c r="E48" s="3">
        <f>raw_csat!E48</f>
        <v>5</v>
      </c>
      <c r="F48" s="3" t="str">
        <f t="shared" si="1"/>
        <v>Até 5 min</v>
      </c>
    </row>
    <row r="49">
      <c r="A49" s="5">
        <f>raw_csat!A49</f>
        <v>45671</v>
      </c>
      <c r="B49" s="3" t="str">
        <f>raw_csat!B49</f>
        <v>Bot</v>
      </c>
      <c r="C49" s="3">
        <f>raw_csat!C49</f>
        <v>4</v>
      </c>
      <c r="D49" s="3">
        <f>IF(raw_csat!C49&gt;=4,1,0)
</f>
        <v>1</v>
      </c>
      <c r="E49" s="3">
        <f>raw_csat!E49</f>
        <v>4</v>
      </c>
      <c r="F49" s="3" t="str">
        <f t="shared" si="1"/>
        <v>Até 5 min</v>
      </c>
    </row>
    <row r="50">
      <c r="A50" s="5">
        <f>raw_csat!A50</f>
        <v>45666</v>
      </c>
      <c r="B50" s="3" t="str">
        <f>raw_csat!B50</f>
        <v>Telefone</v>
      </c>
      <c r="C50" s="3">
        <f>raw_csat!C50</f>
        <v>3</v>
      </c>
      <c r="D50" s="3">
        <f>IF(raw_csat!C50&gt;=4,1,0)
</f>
        <v>0</v>
      </c>
      <c r="E50" s="3">
        <f>raw_csat!E50</f>
        <v>14</v>
      </c>
      <c r="F50" s="3" t="str">
        <f t="shared" si="1"/>
        <v>11 a 20 min</v>
      </c>
    </row>
    <row r="51">
      <c r="A51" s="5">
        <f>raw_csat!A51</f>
        <v>45669</v>
      </c>
      <c r="B51" s="3" t="str">
        <f>raw_csat!B51</f>
        <v>Telefone</v>
      </c>
      <c r="C51" s="3">
        <f>raw_csat!C51</f>
        <v>3</v>
      </c>
      <c r="D51" s="3">
        <f>IF(raw_csat!C51&gt;=4,1,0)
</f>
        <v>0</v>
      </c>
      <c r="E51" s="3">
        <f>raw_csat!E51</f>
        <v>30</v>
      </c>
      <c r="F51" s="3" t="str">
        <f t="shared" si="1"/>
        <v>Acima de 20 min</v>
      </c>
    </row>
    <row r="52">
      <c r="A52" s="5">
        <f>raw_csat!A52</f>
        <v>45681</v>
      </c>
      <c r="B52" s="3" t="str">
        <f>raw_csat!B52</f>
        <v>Chat</v>
      </c>
      <c r="C52" s="3">
        <f>raw_csat!C52</f>
        <v>4</v>
      </c>
      <c r="D52" s="3">
        <f>IF(raw_csat!C52&gt;=4,1,0)
</f>
        <v>1</v>
      </c>
      <c r="E52" s="3">
        <f>raw_csat!E52</f>
        <v>10</v>
      </c>
      <c r="F52" s="3" t="str">
        <f t="shared" si="1"/>
        <v>6 a 10 min</v>
      </c>
    </row>
    <row r="53">
      <c r="A53" s="5">
        <f>raw_csat!A53</f>
        <v>45663</v>
      </c>
      <c r="B53" s="3" t="str">
        <f>raw_csat!B53</f>
        <v>Bot</v>
      </c>
      <c r="C53" s="3">
        <f>raw_csat!C53</f>
        <v>1</v>
      </c>
      <c r="D53" s="3">
        <f>IF(raw_csat!C53&gt;=4,1,0)
</f>
        <v>0</v>
      </c>
      <c r="E53" s="3">
        <f>raw_csat!E53</f>
        <v>6</v>
      </c>
      <c r="F53" s="3" t="str">
        <f t="shared" si="1"/>
        <v>6 a 10 min</v>
      </c>
    </row>
    <row r="54">
      <c r="A54" s="5">
        <f>raw_csat!A54</f>
        <v>45672</v>
      </c>
      <c r="B54" s="3" t="str">
        <f>raw_csat!B54</f>
        <v>Bot</v>
      </c>
      <c r="C54" s="3">
        <f>raw_csat!C54</f>
        <v>1</v>
      </c>
      <c r="D54" s="3">
        <f>IF(raw_csat!C54&gt;=4,1,0)
</f>
        <v>0</v>
      </c>
      <c r="E54" s="3">
        <f>raw_csat!E54</f>
        <v>39</v>
      </c>
      <c r="F54" s="3" t="str">
        <f t="shared" si="1"/>
        <v>Acima de 20 min</v>
      </c>
    </row>
    <row r="55">
      <c r="A55" s="5">
        <f>raw_csat!A55</f>
        <v>45670</v>
      </c>
      <c r="B55" s="3" t="str">
        <f>raw_csat!B55</f>
        <v>Telefone</v>
      </c>
      <c r="C55" s="3">
        <f>raw_csat!C55</f>
        <v>5</v>
      </c>
      <c r="D55" s="3">
        <f>IF(raw_csat!C55&gt;=4,1,0)
</f>
        <v>1</v>
      </c>
      <c r="E55" s="3">
        <f>raw_csat!E55</f>
        <v>11</v>
      </c>
      <c r="F55" s="3" t="str">
        <f t="shared" si="1"/>
        <v>11 a 20 min</v>
      </c>
    </row>
    <row r="56">
      <c r="A56" s="5">
        <f>raw_csat!A56</f>
        <v>45662</v>
      </c>
      <c r="B56" s="3" t="str">
        <f>raw_csat!B56</f>
        <v>Telefone</v>
      </c>
      <c r="C56" s="3">
        <f>raw_csat!C56</f>
        <v>1</v>
      </c>
      <c r="D56" s="3">
        <f>IF(raw_csat!C56&gt;=4,1,0)
</f>
        <v>0</v>
      </c>
      <c r="E56" s="3">
        <f>raw_csat!E56</f>
        <v>44</v>
      </c>
      <c r="F56" s="3" t="str">
        <f t="shared" si="1"/>
        <v>Acima de 20 min</v>
      </c>
    </row>
    <row r="57">
      <c r="A57" s="5">
        <f>raw_csat!A57</f>
        <v>45686</v>
      </c>
      <c r="B57" s="3" t="str">
        <f>raw_csat!B57</f>
        <v>WhatsApp</v>
      </c>
      <c r="C57" s="3">
        <f>raw_csat!C57</f>
        <v>2</v>
      </c>
      <c r="D57" s="3">
        <f>IF(raw_csat!C57&gt;=4,1,0)
</f>
        <v>0</v>
      </c>
      <c r="E57" s="3">
        <f>raw_csat!E57</f>
        <v>25</v>
      </c>
      <c r="F57" s="3" t="str">
        <f t="shared" si="1"/>
        <v>Acima de 20 min</v>
      </c>
    </row>
    <row r="58">
      <c r="A58" s="5">
        <f>raw_csat!A58</f>
        <v>45664</v>
      </c>
      <c r="B58" s="3" t="str">
        <f>raw_csat!B58</f>
        <v>E-mail</v>
      </c>
      <c r="C58" s="3">
        <f>raw_csat!C58</f>
        <v>4</v>
      </c>
      <c r="D58" s="3">
        <f>IF(raw_csat!C58&gt;=4,1,0)
</f>
        <v>1</v>
      </c>
      <c r="E58" s="3">
        <f>raw_csat!E58</f>
        <v>21</v>
      </c>
      <c r="F58" s="3" t="str">
        <f t="shared" si="1"/>
        <v>Acima de 20 min</v>
      </c>
    </row>
    <row r="59">
      <c r="A59" s="5">
        <f>raw_csat!A59</f>
        <v>45671</v>
      </c>
      <c r="B59" s="3" t="str">
        <f>raw_csat!B59</f>
        <v>Chat</v>
      </c>
      <c r="C59" s="3">
        <f>raw_csat!C59</f>
        <v>2</v>
      </c>
      <c r="D59" s="3">
        <f>IF(raw_csat!C59&gt;=4,1,0)
</f>
        <v>0</v>
      </c>
      <c r="E59" s="3">
        <f>raw_csat!E59</f>
        <v>17</v>
      </c>
      <c r="F59" s="3" t="str">
        <f t="shared" si="1"/>
        <v>11 a 20 min</v>
      </c>
    </row>
    <row r="60">
      <c r="A60" s="5">
        <f>raw_csat!A60</f>
        <v>45666</v>
      </c>
      <c r="B60" s="3" t="str">
        <f>raw_csat!B60</f>
        <v>Bot</v>
      </c>
      <c r="C60" s="3">
        <f>raw_csat!C60</f>
        <v>2</v>
      </c>
      <c r="D60" s="3">
        <f>IF(raw_csat!C60&gt;=4,1,0)
</f>
        <v>0</v>
      </c>
      <c r="E60" s="3">
        <f>raw_csat!E60</f>
        <v>11</v>
      </c>
      <c r="F60" s="3" t="str">
        <f t="shared" si="1"/>
        <v>11 a 20 min</v>
      </c>
    </row>
    <row r="61">
      <c r="A61" s="5">
        <f>raw_csat!A61</f>
        <v>45678</v>
      </c>
      <c r="B61" s="3" t="str">
        <f>raw_csat!B61</f>
        <v>Chat</v>
      </c>
      <c r="C61" s="3">
        <f>raw_csat!C61</f>
        <v>2</v>
      </c>
      <c r="D61" s="3">
        <f>IF(raw_csat!C61&gt;=4,1,0)
</f>
        <v>0</v>
      </c>
      <c r="E61" s="3">
        <f>raw_csat!E61</f>
        <v>16</v>
      </c>
      <c r="F61" s="3" t="str">
        <f t="shared" si="1"/>
        <v>11 a 20 min</v>
      </c>
    </row>
    <row r="62">
      <c r="A62" s="5">
        <f>raw_csat!A62</f>
        <v>45659</v>
      </c>
      <c r="B62" s="3" t="str">
        <f>raw_csat!B62</f>
        <v>WhatsApp</v>
      </c>
      <c r="C62" s="3">
        <f>raw_csat!C62</f>
        <v>4</v>
      </c>
      <c r="D62" s="3">
        <f>IF(raw_csat!C62&gt;=4,1,0)
</f>
        <v>1</v>
      </c>
      <c r="E62" s="3">
        <f>raw_csat!E62</f>
        <v>43</v>
      </c>
      <c r="F62" s="3" t="str">
        <f t="shared" si="1"/>
        <v>Acima de 20 min</v>
      </c>
    </row>
    <row r="63">
      <c r="A63" s="5">
        <f>raw_csat!A63</f>
        <v>45661</v>
      </c>
      <c r="B63" s="3" t="str">
        <f>raw_csat!B63</f>
        <v>Chat</v>
      </c>
      <c r="C63" s="3">
        <f>raw_csat!C63</f>
        <v>2</v>
      </c>
      <c r="D63" s="3">
        <f>IF(raw_csat!C63&gt;=4,1,0)
</f>
        <v>0</v>
      </c>
      <c r="E63" s="3">
        <f>raw_csat!E63</f>
        <v>28</v>
      </c>
      <c r="F63" s="3" t="str">
        <f t="shared" si="1"/>
        <v>Acima de 20 min</v>
      </c>
    </row>
    <row r="64">
      <c r="A64" s="5">
        <f>raw_csat!A64</f>
        <v>45669</v>
      </c>
      <c r="B64" s="3" t="str">
        <f>raw_csat!B64</f>
        <v>Bot</v>
      </c>
      <c r="C64" s="3">
        <f>raw_csat!C64</f>
        <v>4</v>
      </c>
      <c r="D64" s="3">
        <f>IF(raw_csat!C64&gt;=4,1,0)
</f>
        <v>1</v>
      </c>
      <c r="E64" s="3">
        <f>raw_csat!E64</f>
        <v>41</v>
      </c>
      <c r="F64" s="3" t="str">
        <f t="shared" si="1"/>
        <v>Acima de 20 min</v>
      </c>
    </row>
    <row r="65">
      <c r="A65" s="5">
        <f>raw_csat!A65</f>
        <v>45663</v>
      </c>
      <c r="B65" s="3" t="str">
        <f>raw_csat!B65</f>
        <v>Bot</v>
      </c>
      <c r="C65" s="3">
        <f>raw_csat!C65</f>
        <v>3</v>
      </c>
      <c r="D65" s="3">
        <f>IF(raw_csat!C65&gt;=4,1,0)
</f>
        <v>0</v>
      </c>
      <c r="E65" s="3">
        <f>raw_csat!E65</f>
        <v>16</v>
      </c>
      <c r="F65" s="3" t="str">
        <f t="shared" si="1"/>
        <v>11 a 20 min</v>
      </c>
    </row>
    <row r="66">
      <c r="A66" s="5">
        <f>raw_csat!A66</f>
        <v>45666</v>
      </c>
      <c r="B66" s="3" t="str">
        <f>raw_csat!B66</f>
        <v>WhatsApp</v>
      </c>
      <c r="C66" s="3">
        <f>raw_csat!C66</f>
        <v>5</v>
      </c>
      <c r="D66" s="3">
        <f>IF(raw_csat!C66&gt;=4,1,0)
</f>
        <v>1</v>
      </c>
      <c r="E66" s="3">
        <f>raw_csat!E66</f>
        <v>33</v>
      </c>
      <c r="F66" s="3" t="str">
        <f t="shared" si="1"/>
        <v>Acima de 20 min</v>
      </c>
    </row>
    <row r="67">
      <c r="A67" s="5">
        <f>raw_csat!A67</f>
        <v>45669</v>
      </c>
      <c r="B67" s="3" t="str">
        <f>raw_csat!B67</f>
        <v>WhatsApp</v>
      </c>
      <c r="C67" s="3">
        <f>raw_csat!C67</f>
        <v>5</v>
      </c>
      <c r="D67" s="3">
        <f>IF(raw_csat!C67&gt;=4,1,0)
</f>
        <v>1</v>
      </c>
      <c r="E67" s="3">
        <f>raw_csat!E67</f>
        <v>17</v>
      </c>
      <c r="F67" s="3" t="str">
        <f t="shared" si="1"/>
        <v>11 a 20 min</v>
      </c>
    </row>
    <row r="68">
      <c r="A68" s="5">
        <f>raw_csat!A68</f>
        <v>45679</v>
      </c>
      <c r="B68" s="3" t="str">
        <f>raw_csat!B68</f>
        <v>Bot</v>
      </c>
      <c r="C68" s="3">
        <f>raw_csat!C68</f>
        <v>5</v>
      </c>
      <c r="D68" s="3">
        <f>IF(raw_csat!C68&gt;=4,1,0)
</f>
        <v>1</v>
      </c>
      <c r="E68" s="3">
        <f>raw_csat!E68</f>
        <v>33</v>
      </c>
      <c r="F68" s="3" t="str">
        <f t="shared" si="1"/>
        <v>Acima de 20 min</v>
      </c>
    </row>
    <row r="69">
      <c r="A69" s="5">
        <f>raw_csat!A69</f>
        <v>45671</v>
      </c>
      <c r="B69" s="3" t="str">
        <f>raw_csat!B69</f>
        <v>Bot</v>
      </c>
      <c r="C69" s="3">
        <f>raw_csat!C69</f>
        <v>1</v>
      </c>
      <c r="D69" s="3">
        <f>IF(raw_csat!C69&gt;=4,1,0)
</f>
        <v>0</v>
      </c>
      <c r="E69" s="3">
        <f>raw_csat!E69</f>
        <v>15</v>
      </c>
      <c r="F69" s="3" t="str">
        <f t="shared" si="1"/>
        <v>11 a 20 min</v>
      </c>
    </row>
    <row r="70">
      <c r="A70" s="5">
        <f>raw_csat!A70</f>
        <v>45687</v>
      </c>
      <c r="B70" s="3" t="str">
        <f>raw_csat!B70</f>
        <v>E-mail</v>
      </c>
      <c r="C70" s="3">
        <f>raw_csat!C70</f>
        <v>4</v>
      </c>
      <c r="D70" s="3">
        <f>IF(raw_csat!C70&gt;=4,1,0)
</f>
        <v>1</v>
      </c>
      <c r="E70" s="3">
        <f>raw_csat!E70</f>
        <v>8</v>
      </c>
      <c r="F70" s="3" t="str">
        <f t="shared" si="1"/>
        <v>6 a 10 min</v>
      </c>
    </row>
    <row r="71">
      <c r="A71" s="5">
        <f>raw_csat!A71</f>
        <v>45677</v>
      </c>
      <c r="B71" s="3" t="str">
        <f>raw_csat!B71</f>
        <v>WhatsApp</v>
      </c>
      <c r="C71" s="3">
        <f>raw_csat!C71</f>
        <v>1</v>
      </c>
      <c r="D71" s="3">
        <f>IF(raw_csat!C71&gt;=4,1,0)
</f>
        <v>0</v>
      </c>
      <c r="E71" s="3">
        <f>raw_csat!E71</f>
        <v>36</v>
      </c>
      <c r="F71" s="3" t="str">
        <f t="shared" si="1"/>
        <v>Acima de 20 min</v>
      </c>
    </row>
    <row r="72">
      <c r="A72" s="5">
        <f>raw_csat!A72</f>
        <v>45680</v>
      </c>
      <c r="B72" s="3" t="str">
        <f>raw_csat!B72</f>
        <v>Chat</v>
      </c>
      <c r="C72" s="3">
        <f>raw_csat!C72</f>
        <v>2</v>
      </c>
      <c r="D72" s="3">
        <f>IF(raw_csat!C72&gt;=4,1,0)
</f>
        <v>0</v>
      </c>
      <c r="E72" s="3">
        <f>raw_csat!E72</f>
        <v>14</v>
      </c>
      <c r="F72" s="3" t="str">
        <f t="shared" si="1"/>
        <v>11 a 20 min</v>
      </c>
    </row>
    <row r="73">
      <c r="A73" s="5">
        <f>raw_csat!A73</f>
        <v>45668</v>
      </c>
      <c r="B73" s="3" t="str">
        <f>raw_csat!B73</f>
        <v>Chat</v>
      </c>
      <c r="C73" s="3">
        <f>raw_csat!C73</f>
        <v>5</v>
      </c>
      <c r="D73" s="3">
        <f>IF(raw_csat!C73&gt;=4,1,0)
</f>
        <v>1</v>
      </c>
      <c r="E73" s="3">
        <f>raw_csat!E73</f>
        <v>34</v>
      </c>
      <c r="F73" s="3" t="str">
        <f t="shared" si="1"/>
        <v>Acima de 20 min</v>
      </c>
    </row>
    <row r="74">
      <c r="A74" s="5">
        <f>raw_csat!A74</f>
        <v>45671</v>
      </c>
      <c r="B74" s="3" t="str">
        <f>raw_csat!B74</f>
        <v>E-mail</v>
      </c>
      <c r="C74" s="3">
        <f>raw_csat!C74</f>
        <v>2</v>
      </c>
      <c r="D74" s="3">
        <f>IF(raw_csat!C74&gt;=4,1,0)
</f>
        <v>0</v>
      </c>
      <c r="E74" s="3">
        <f>raw_csat!E74</f>
        <v>11</v>
      </c>
      <c r="F74" s="3" t="str">
        <f t="shared" si="1"/>
        <v>11 a 20 min</v>
      </c>
    </row>
    <row r="75">
      <c r="A75" s="5">
        <f>raw_csat!A75</f>
        <v>45663</v>
      </c>
      <c r="B75" s="3" t="str">
        <f>raw_csat!B75</f>
        <v>Telefone</v>
      </c>
      <c r="C75" s="3">
        <f>raw_csat!C75</f>
        <v>1</v>
      </c>
      <c r="D75" s="3">
        <f>IF(raw_csat!C75&gt;=4,1,0)
</f>
        <v>0</v>
      </c>
      <c r="E75" s="3">
        <f>raw_csat!E75</f>
        <v>15</v>
      </c>
      <c r="F75" s="3" t="str">
        <f t="shared" si="1"/>
        <v>11 a 20 min</v>
      </c>
    </row>
    <row r="76">
      <c r="A76" s="5">
        <f>raw_csat!A76</f>
        <v>45687</v>
      </c>
      <c r="B76" s="3" t="str">
        <f>raw_csat!B76</f>
        <v>Telefone</v>
      </c>
      <c r="C76" s="3">
        <f>raw_csat!C76</f>
        <v>3</v>
      </c>
      <c r="D76" s="3">
        <f>IF(raw_csat!C76&gt;=4,1,0)
</f>
        <v>0</v>
      </c>
      <c r="E76" s="3">
        <f>raw_csat!E76</f>
        <v>6</v>
      </c>
      <c r="F76" s="3" t="str">
        <f t="shared" si="1"/>
        <v>6 a 10 min</v>
      </c>
    </row>
    <row r="77">
      <c r="A77" s="5">
        <f>raw_csat!A77</f>
        <v>45661</v>
      </c>
      <c r="B77" s="3" t="str">
        <f>raw_csat!B77</f>
        <v>E-mail</v>
      </c>
      <c r="C77" s="3">
        <f>raw_csat!C77</f>
        <v>5</v>
      </c>
      <c r="D77" s="3">
        <f>IF(raw_csat!C77&gt;=4,1,0)
</f>
        <v>1</v>
      </c>
      <c r="E77" s="3">
        <f>raw_csat!E77</f>
        <v>13</v>
      </c>
      <c r="F77" s="3" t="str">
        <f t="shared" si="1"/>
        <v>11 a 20 min</v>
      </c>
    </row>
    <row r="78">
      <c r="A78" s="5">
        <f>raw_csat!A78</f>
        <v>45668</v>
      </c>
      <c r="B78" s="3" t="str">
        <f>raw_csat!B78</f>
        <v>Chat</v>
      </c>
      <c r="C78" s="3">
        <f>raw_csat!C78</f>
        <v>5</v>
      </c>
      <c r="D78" s="3">
        <f>IF(raw_csat!C78&gt;=4,1,0)
</f>
        <v>1</v>
      </c>
      <c r="E78" s="3">
        <f>raw_csat!E78</f>
        <v>15</v>
      </c>
      <c r="F78" s="3" t="str">
        <f t="shared" si="1"/>
        <v>11 a 20 min</v>
      </c>
    </row>
    <row r="79">
      <c r="A79" s="5">
        <f>raw_csat!A79</f>
        <v>45683</v>
      </c>
      <c r="B79" s="3" t="str">
        <f>raw_csat!B79</f>
        <v>Chat</v>
      </c>
      <c r="C79" s="3">
        <f>raw_csat!C79</f>
        <v>2</v>
      </c>
      <c r="D79" s="3">
        <f>IF(raw_csat!C79&gt;=4,1,0)
</f>
        <v>0</v>
      </c>
      <c r="E79" s="3">
        <f>raw_csat!E79</f>
        <v>43</v>
      </c>
      <c r="F79" s="3" t="str">
        <f t="shared" si="1"/>
        <v>Acima de 20 min</v>
      </c>
    </row>
    <row r="80">
      <c r="A80" s="5">
        <f>raw_csat!A80</f>
        <v>45679</v>
      </c>
      <c r="B80" s="3" t="str">
        <f>raw_csat!B80</f>
        <v>Bot</v>
      </c>
      <c r="C80" s="3">
        <f>raw_csat!C80</f>
        <v>4</v>
      </c>
      <c r="D80" s="3">
        <f>IF(raw_csat!C80&gt;=4,1,0)
</f>
        <v>1</v>
      </c>
      <c r="E80" s="3">
        <f>raw_csat!E80</f>
        <v>19</v>
      </c>
      <c r="F80" s="3" t="str">
        <f t="shared" si="1"/>
        <v>11 a 20 min</v>
      </c>
    </row>
    <row r="81">
      <c r="A81" s="5">
        <f>raw_csat!A81</f>
        <v>45666</v>
      </c>
      <c r="B81" s="3" t="str">
        <f>raw_csat!B81</f>
        <v>Bot</v>
      </c>
      <c r="C81" s="3">
        <f>raw_csat!C81</f>
        <v>2</v>
      </c>
      <c r="D81" s="3">
        <f>IF(raw_csat!C81&gt;=4,1,0)
</f>
        <v>0</v>
      </c>
      <c r="E81" s="3">
        <f>raw_csat!E81</f>
        <v>45</v>
      </c>
      <c r="F81" s="3" t="str">
        <f t="shared" si="1"/>
        <v>Acima de 20 min</v>
      </c>
    </row>
    <row r="82">
      <c r="A82" s="5">
        <f>raw_csat!A82</f>
        <v>45671</v>
      </c>
      <c r="B82" s="3" t="str">
        <f>raw_csat!B82</f>
        <v>E-mail</v>
      </c>
      <c r="C82" s="3">
        <f>raw_csat!C82</f>
        <v>4</v>
      </c>
      <c r="D82" s="3">
        <f>IF(raw_csat!C82&gt;=4,1,0)
</f>
        <v>1</v>
      </c>
      <c r="E82" s="3">
        <f>raw_csat!E82</f>
        <v>33</v>
      </c>
      <c r="F82" s="3" t="str">
        <f t="shared" si="1"/>
        <v>Acima de 20 min</v>
      </c>
    </row>
    <row r="83">
      <c r="A83" s="5">
        <f>raw_csat!A83</f>
        <v>45658</v>
      </c>
      <c r="B83" s="3" t="str">
        <f>raw_csat!B83</f>
        <v>E-mail</v>
      </c>
      <c r="C83" s="3">
        <f>raw_csat!C83</f>
        <v>3</v>
      </c>
      <c r="D83" s="3">
        <f>IF(raw_csat!C83&gt;=4,1,0)
</f>
        <v>0</v>
      </c>
      <c r="E83" s="3">
        <f>raw_csat!E83</f>
        <v>33</v>
      </c>
      <c r="F83" s="3" t="str">
        <f t="shared" si="1"/>
        <v>Acima de 20 min</v>
      </c>
    </row>
    <row r="84">
      <c r="A84" s="5">
        <f>raw_csat!A84</f>
        <v>45667</v>
      </c>
      <c r="B84" s="3" t="str">
        <f>raw_csat!B84</f>
        <v>Bot</v>
      </c>
      <c r="C84" s="3">
        <f>raw_csat!C84</f>
        <v>1</v>
      </c>
      <c r="D84" s="3">
        <f>IF(raw_csat!C84&gt;=4,1,0)
</f>
        <v>0</v>
      </c>
      <c r="E84" s="3">
        <f>raw_csat!E84</f>
        <v>18</v>
      </c>
      <c r="F84" s="3" t="str">
        <f t="shared" si="1"/>
        <v>11 a 20 min</v>
      </c>
    </row>
    <row r="85">
      <c r="A85" s="5">
        <f>raw_csat!A85</f>
        <v>45670</v>
      </c>
      <c r="B85" s="3" t="str">
        <f>raw_csat!B85</f>
        <v>WhatsApp</v>
      </c>
      <c r="C85" s="3">
        <f>raw_csat!C85</f>
        <v>2</v>
      </c>
      <c r="D85" s="3">
        <f>IF(raw_csat!C85&gt;=4,1,0)
</f>
        <v>0</v>
      </c>
      <c r="E85" s="3">
        <f>raw_csat!E85</f>
        <v>25</v>
      </c>
      <c r="F85" s="3" t="str">
        <f t="shared" si="1"/>
        <v>Acima de 20 min</v>
      </c>
    </row>
    <row r="86">
      <c r="A86" s="5">
        <f>raw_csat!A86</f>
        <v>45674</v>
      </c>
      <c r="B86" s="3" t="str">
        <f>raw_csat!B86</f>
        <v>WhatsApp</v>
      </c>
      <c r="C86" s="3">
        <f>raw_csat!C86</f>
        <v>4</v>
      </c>
      <c r="D86" s="3">
        <f>IF(raw_csat!C86&gt;=4,1,0)
</f>
        <v>1</v>
      </c>
      <c r="E86" s="3">
        <f>raw_csat!E86</f>
        <v>17</v>
      </c>
      <c r="F86" s="3" t="str">
        <f t="shared" si="1"/>
        <v>11 a 20 min</v>
      </c>
    </row>
    <row r="87">
      <c r="A87" s="5">
        <f>raw_csat!A87</f>
        <v>45674</v>
      </c>
      <c r="B87" s="3" t="str">
        <f>raw_csat!B87</f>
        <v>WhatsApp</v>
      </c>
      <c r="C87" s="3">
        <f>raw_csat!C87</f>
        <v>1</v>
      </c>
      <c r="D87" s="3">
        <f>IF(raw_csat!C87&gt;=4,1,0)
</f>
        <v>0</v>
      </c>
      <c r="E87" s="3">
        <f>raw_csat!E87</f>
        <v>19</v>
      </c>
      <c r="F87" s="3" t="str">
        <f t="shared" si="1"/>
        <v>11 a 20 min</v>
      </c>
    </row>
    <row r="88">
      <c r="A88" s="5">
        <f>raw_csat!A88</f>
        <v>45667</v>
      </c>
      <c r="B88" s="3" t="str">
        <f>raw_csat!B88</f>
        <v>Bot</v>
      </c>
      <c r="C88" s="3">
        <f>raw_csat!C88</f>
        <v>3</v>
      </c>
      <c r="D88" s="3">
        <f>IF(raw_csat!C88&gt;=4,1,0)
</f>
        <v>0</v>
      </c>
      <c r="E88" s="3">
        <f>raw_csat!E88</f>
        <v>42</v>
      </c>
      <c r="F88" s="3" t="str">
        <f t="shared" si="1"/>
        <v>Acima de 20 min</v>
      </c>
    </row>
    <row r="89">
      <c r="A89" s="5">
        <f>raw_csat!A89</f>
        <v>45659</v>
      </c>
      <c r="B89" s="3" t="str">
        <f>raw_csat!B89</f>
        <v>E-mail</v>
      </c>
      <c r="C89" s="3">
        <f>raw_csat!C89</f>
        <v>4</v>
      </c>
      <c r="D89" s="3">
        <f>IF(raw_csat!C89&gt;=4,1,0)
</f>
        <v>1</v>
      </c>
      <c r="E89" s="3">
        <f>raw_csat!E89</f>
        <v>36</v>
      </c>
      <c r="F89" s="3" t="str">
        <f t="shared" si="1"/>
        <v>Acima de 20 min</v>
      </c>
    </row>
    <row r="90">
      <c r="A90" s="5">
        <f>raw_csat!A90</f>
        <v>45670</v>
      </c>
      <c r="B90" s="3" t="str">
        <f>raw_csat!B90</f>
        <v>WhatsApp</v>
      </c>
      <c r="C90" s="3">
        <f>raw_csat!C90</f>
        <v>4</v>
      </c>
      <c r="D90" s="3">
        <f>IF(raw_csat!C90&gt;=4,1,0)
</f>
        <v>1</v>
      </c>
      <c r="E90" s="3">
        <f>raw_csat!E90</f>
        <v>2</v>
      </c>
      <c r="F90" s="3" t="str">
        <f t="shared" si="1"/>
        <v>Até 5 min</v>
      </c>
    </row>
    <row r="91">
      <c r="A91" s="5">
        <f>raw_csat!A91</f>
        <v>45662</v>
      </c>
      <c r="B91" s="3" t="str">
        <f>raw_csat!B91</f>
        <v>Chat</v>
      </c>
      <c r="C91" s="3">
        <f>raw_csat!C91</f>
        <v>5</v>
      </c>
      <c r="D91" s="3">
        <f>IF(raw_csat!C91&gt;=4,1,0)
</f>
        <v>1</v>
      </c>
      <c r="E91" s="3">
        <f>raw_csat!E91</f>
        <v>8</v>
      </c>
      <c r="F91" s="3" t="str">
        <f t="shared" si="1"/>
        <v>6 a 10 min</v>
      </c>
    </row>
    <row r="92">
      <c r="A92" s="5">
        <f>raw_csat!A92</f>
        <v>45663</v>
      </c>
      <c r="B92" s="3" t="str">
        <f>raw_csat!B92</f>
        <v>Bot</v>
      </c>
      <c r="C92" s="3">
        <f>raw_csat!C92</f>
        <v>5</v>
      </c>
      <c r="D92" s="3">
        <f>IF(raw_csat!C92&gt;=4,1,0)
</f>
        <v>1</v>
      </c>
      <c r="E92" s="3">
        <f>raw_csat!E92</f>
        <v>31</v>
      </c>
      <c r="F92" s="3" t="str">
        <f t="shared" si="1"/>
        <v>Acima de 20 min</v>
      </c>
    </row>
    <row r="93">
      <c r="A93" s="5">
        <f>raw_csat!A93</f>
        <v>45669</v>
      </c>
      <c r="B93" s="3" t="str">
        <f>raw_csat!B93</f>
        <v>WhatsApp</v>
      </c>
      <c r="C93" s="3">
        <f>raw_csat!C93</f>
        <v>4</v>
      </c>
      <c r="D93" s="3">
        <f>IF(raw_csat!C93&gt;=4,1,0)
</f>
        <v>1</v>
      </c>
      <c r="E93" s="3">
        <f>raw_csat!E93</f>
        <v>24</v>
      </c>
      <c r="F93" s="3" t="str">
        <f t="shared" si="1"/>
        <v>Acima de 20 min</v>
      </c>
    </row>
    <row r="94">
      <c r="A94" s="5">
        <f>raw_csat!A94</f>
        <v>45680</v>
      </c>
      <c r="B94" s="3" t="str">
        <f>raw_csat!B94</f>
        <v>E-mail</v>
      </c>
      <c r="C94" s="3">
        <f>raw_csat!C94</f>
        <v>2</v>
      </c>
      <c r="D94" s="3">
        <f>IF(raw_csat!C94&gt;=4,1,0)
</f>
        <v>0</v>
      </c>
      <c r="E94" s="3">
        <f>raw_csat!E94</f>
        <v>18</v>
      </c>
      <c r="F94" s="3" t="str">
        <f t="shared" si="1"/>
        <v>11 a 20 min</v>
      </c>
    </row>
    <row r="95">
      <c r="A95" s="5">
        <f>raw_csat!A95</f>
        <v>45682</v>
      </c>
      <c r="B95" s="3" t="str">
        <f>raw_csat!B95</f>
        <v>Telefone</v>
      </c>
      <c r="C95" s="3">
        <f>raw_csat!C95</f>
        <v>2</v>
      </c>
      <c r="D95" s="3">
        <f>IF(raw_csat!C95&gt;=4,1,0)
</f>
        <v>0</v>
      </c>
      <c r="E95" s="3">
        <f>raw_csat!E95</f>
        <v>34</v>
      </c>
      <c r="F95" s="3" t="str">
        <f t="shared" si="1"/>
        <v>Acima de 20 min</v>
      </c>
    </row>
    <row r="96">
      <c r="A96" s="5">
        <f>raw_csat!A96</f>
        <v>45661</v>
      </c>
      <c r="B96" s="3" t="str">
        <f>raw_csat!B96</f>
        <v>WhatsApp</v>
      </c>
      <c r="C96" s="3">
        <f>raw_csat!C96</f>
        <v>3</v>
      </c>
      <c r="D96" s="3">
        <f>IF(raw_csat!C96&gt;=4,1,0)
</f>
        <v>0</v>
      </c>
      <c r="E96" s="3">
        <f>raw_csat!E96</f>
        <v>6</v>
      </c>
      <c r="F96" s="3" t="str">
        <f t="shared" si="1"/>
        <v>6 a 10 min</v>
      </c>
    </row>
    <row r="97">
      <c r="A97" s="5">
        <f>raw_csat!A97</f>
        <v>45665</v>
      </c>
      <c r="B97" s="3" t="str">
        <f>raw_csat!B97</f>
        <v>Bot</v>
      </c>
      <c r="C97" s="3">
        <f>raw_csat!C97</f>
        <v>1</v>
      </c>
      <c r="D97" s="3">
        <f>IF(raw_csat!C97&gt;=4,1,0)
</f>
        <v>0</v>
      </c>
      <c r="E97" s="3">
        <f>raw_csat!E97</f>
        <v>43</v>
      </c>
      <c r="F97" s="3" t="str">
        <f t="shared" si="1"/>
        <v>Acima de 20 min</v>
      </c>
    </row>
    <row r="98">
      <c r="A98" s="5">
        <f>raw_csat!A98</f>
        <v>45687</v>
      </c>
      <c r="B98" s="3" t="str">
        <f>raw_csat!B98</f>
        <v>Telefone</v>
      </c>
      <c r="C98" s="3">
        <f>raw_csat!C98</f>
        <v>3</v>
      </c>
      <c r="D98" s="3">
        <f>IF(raw_csat!C98&gt;=4,1,0)
</f>
        <v>0</v>
      </c>
      <c r="E98" s="3">
        <f>raw_csat!E98</f>
        <v>6</v>
      </c>
      <c r="F98" s="3" t="str">
        <f t="shared" si="1"/>
        <v>6 a 10 min</v>
      </c>
    </row>
    <row r="99">
      <c r="A99" s="5">
        <f>raw_csat!A99</f>
        <v>45680</v>
      </c>
      <c r="B99" s="3" t="str">
        <f>raw_csat!B99</f>
        <v>Bot</v>
      </c>
      <c r="C99" s="3">
        <f>raw_csat!C99</f>
        <v>1</v>
      </c>
      <c r="D99" s="3">
        <f>IF(raw_csat!C99&gt;=4,1,0)
</f>
        <v>0</v>
      </c>
      <c r="E99" s="3">
        <f>raw_csat!E99</f>
        <v>39</v>
      </c>
      <c r="F99" s="3" t="str">
        <f t="shared" si="1"/>
        <v>Acima de 20 min</v>
      </c>
    </row>
    <row r="100">
      <c r="A100" s="5">
        <f>raw_csat!A100</f>
        <v>45663</v>
      </c>
      <c r="B100" s="3" t="str">
        <f>raw_csat!B100</f>
        <v>Bot</v>
      </c>
      <c r="C100" s="3">
        <f>raw_csat!C100</f>
        <v>1</v>
      </c>
      <c r="D100" s="3">
        <f>IF(raw_csat!C100&gt;=4,1,0)
</f>
        <v>0</v>
      </c>
      <c r="E100" s="3">
        <f>raw_csat!E100</f>
        <v>7</v>
      </c>
      <c r="F100" s="3" t="str">
        <f t="shared" si="1"/>
        <v>6 a 10 min</v>
      </c>
    </row>
    <row r="101">
      <c r="A101" s="5">
        <f>raw_csat!A101</f>
        <v>45679</v>
      </c>
      <c r="B101" s="3" t="str">
        <f>raw_csat!B101</f>
        <v>Bot</v>
      </c>
      <c r="C101" s="3">
        <f>raw_csat!C101</f>
        <v>3</v>
      </c>
      <c r="D101" s="3">
        <f>IF(raw_csat!C101&gt;=4,1,0)
</f>
        <v>0</v>
      </c>
      <c r="E101" s="3">
        <f>raw_csat!E101</f>
        <v>39</v>
      </c>
      <c r="F101" s="3" t="str">
        <f t="shared" si="1"/>
        <v>Acima de 20 min</v>
      </c>
    </row>
    <row r="102">
      <c r="A102" s="5">
        <f>raw_csat!A102</f>
        <v>45668</v>
      </c>
      <c r="B102" s="3" t="str">
        <f>raw_csat!B102</f>
        <v>Chat</v>
      </c>
      <c r="C102" s="3">
        <f>raw_csat!C102</f>
        <v>5</v>
      </c>
      <c r="D102" s="3">
        <f>IF(raw_csat!C102&gt;=4,1,0)
</f>
        <v>1</v>
      </c>
      <c r="E102" s="3">
        <f>raw_csat!E102</f>
        <v>16</v>
      </c>
      <c r="F102" s="3" t="str">
        <f t="shared" si="1"/>
        <v>11 a 20 min</v>
      </c>
    </row>
    <row r="103">
      <c r="A103" s="5">
        <f>raw_csat!A103</f>
        <v>45686</v>
      </c>
      <c r="B103" s="3" t="str">
        <f>raw_csat!B103</f>
        <v>Chat</v>
      </c>
      <c r="C103" s="3">
        <f>raw_csat!C103</f>
        <v>1</v>
      </c>
      <c r="D103" s="3">
        <f>IF(raw_csat!C103&gt;=4,1,0)
</f>
        <v>0</v>
      </c>
      <c r="E103" s="3">
        <f>raw_csat!E103</f>
        <v>6</v>
      </c>
      <c r="F103" s="3" t="str">
        <f t="shared" si="1"/>
        <v>6 a 10 min</v>
      </c>
    </row>
    <row r="104">
      <c r="A104" s="5">
        <f>raw_csat!A104</f>
        <v>45674</v>
      </c>
      <c r="B104" s="3" t="str">
        <f>raw_csat!B104</f>
        <v>WhatsApp</v>
      </c>
      <c r="C104" s="3">
        <f>raw_csat!C104</f>
        <v>3</v>
      </c>
      <c r="D104" s="3">
        <f>IF(raw_csat!C104&gt;=4,1,0)
</f>
        <v>0</v>
      </c>
      <c r="E104" s="3">
        <f>raw_csat!E104</f>
        <v>12</v>
      </c>
      <c r="F104" s="3" t="str">
        <f t="shared" si="1"/>
        <v>11 a 20 min</v>
      </c>
    </row>
    <row r="105">
      <c r="A105" s="5">
        <f>raw_csat!A105</f>
        <v>45685</v>
      </c>
      <c r="B105" s="3" t="str">
        <f>raw_csat!B105</f>
        <v>Telefone</v>
      </c>
      <c r="C105" s="3">
        <f>raw_csat!C105</f>
        <v>5</v>
      </c>
      <c r="D105" s="3">
        <f>IF(raw_csat!C105&gt;=4,1,0)
</f>
        <v>1</v>
      </c>
      <c r="E105" s="3">
        <f>raw_csat!E105</f>
        <v>28</v>
      </c>
      <c r="F105" s="3" t="str">
        <f t="shared" si="1"/>
        <v>Acima de 20 min</v>
      </c>
    </row>
    <row r="106">
      <c r="A106" s="5">
        <f>raw_csat!A106</f>
        <v>45671</v>
      </c>
      <c r="B106" s="3" t="str">
        <f>raw_csat!B106</f>
        <v>Chat</v>
      </c>
      <c r="C106" s="3">
        <f>raw_csat!C106</f>
        <v>3</v>
      </c>
      <c r="D106" s="3">
        <f>IF(raw_csat!C106&gt;=4,1,0)
</f>
        <v>0</v>
      </c>
      <c r="E106" s="3">
        <f>raw_csat!E106</f>
        <v>45</v>
      </c>
      <c r="F106" s="3" t="str">
        <f t="shared" si="1"/>
        <v>Acima de 20 min</v>
      </c>
    </row>
    <row r="107">
      <c r="A107" s="5">
        <f>raw_csat!A107</f>
        <v>45686</v>
      </c>
      <c r="B107" s="3" t="str">
        <f>raw_csat!B107</f>
        <v>E-mail</v>
      </c>
      <c r="C107" s="3">
        <f>raw_csat!C107</f>
        <v>4</v>
      </c>
      <c r="D107" s="3">
        <f>IF(raw_csat!C107&gt;=4,1,0)
</f>
        <v>1</v>
      </c>
      <c r="E107" s="3">
        <f>raw_csat!E107</f>
        <v>6</v>
      </c>
      <c r="F107" s="3" t="str">
        <f t="shared" si="1"/>
        <v>6 a 10 min</v>
      </c>
    </row>
    <row r="108">
      <c r="A108" s="5">
        <f>raw_csat!A108</f>
        <v>45663</v>
      </c>
      <c r="B108" s="3" t="str">
        <f>raw_csat!B108</f>
        <v>WhatsApp</v>
      </c>
      <c r="C108" s="3">
        <f>raw_csat!C108</f>
        <v>4</v>
      </c>
      <c r="D108" s="3">
        <f>IF(raw_csat!C108&gt;=4,1,0)
</f>
        <v>1</v>
      </c>
      <c r="E108" s="3">
        <f>raw_csat!E108</f>
        <v>44</v>
      </c>
      <c r="F108" s="3" t="str">
        <f t="shared" si="1"/>
        <v>Acima de 20 min</v>
      </c>
    </row>
    <row r="109">
      <c r="A109" s="5">
        <f>raw_csat!A109</f>
        <v>45675</v>
      </c>
      <c r="B109" s="3" t="str">
        <f>raw_csat!B109</f>
        <v>E-mail</v>
      </c>
      <c r="C109" s="3">
        <f>raw_csat!C109</f>
        <v>2</v>
      </c>
      <c r="D109" s="3">
        <f>IF(raw_csat!C109&gt;=4,1,0)
</f>
        <v>0</v>
      </c>
      <c r="E109" s="3">
        <f>raw_csat!E109</f>
        <v>17</v>
      </c>
      <c r="F109" s="3" t="str">
        <f t="shared" si="1"/>
        <v>11 a 20 min</v>
      </c>
    </row>
    <row r="110">
      <c r="A110" s="5">
        <f>raw_csat!A110</f>
        <v>45664</v>
      </c>
      <c r="B110" s="3" t="str">
        <f>raw_csat!B110</f>
        <v>E-mail</v>
      </c>
      <c r="C110" s="3">
        <f>raw_csat!C110</f>
        <v>4</v>
      </c>
      <c r="D110" s="3">
        <f>IF(raw_csat!C110&gt;=4,1,0)
</f>
        <v>1</v>
      </c>
      <c r="E110" s="3">
        <f>raw_csat!E110</f>
        <v>2</v>
      </c>
      <c r="F110" s="3" t="str">
        <f t="shared" si="1"/>
        <v>Até 5 min</v>
      </c>
    </row>
    <row r="111">
      <c r="A111" s="5">
        <f>raw_csat!A111</f>
        <v>45683</v>
      </c>
      <c r="B111" s="3" t="str">
        <f>raw_csat!B111</f>
        <v>Bot</v>
      </c>
      <c r="C111" s="3">
        <f>raw_csat!C111</f>
        <v>5</v>
      </c>
      <c r="D111" s="3">
        <f>IF(raw_csat!C111&gt;=4,1,0)
</f>
        <v>1</v>
      </c>
      <c r="E111" s="3">
        <f>raw_csat!E111</f>
        <v>42</v>
      </c>
      <c r="F111" s="3" t="str">
        <f t="shared" si="1"/>
        <v>Acima de 20 min</v>
      </c>
    </row>
    <row r="112">
      <c r="A112" s="5">
        <f>raw_csat!A112</f>
        <v>45671</v>
      </c>
      <c r="B112" s="3" t="str">
        <f>raw_csat!B112</f>
        <v>E-mail</v>
      </c>
      <c r="C112" s="3">
        <f>raw_csat!C112</f>
        <v>2</v>
      </c>
      <c r="D112" s="3">
        <f>IF(raw_csat!C112&gt;=4,1,0)
</f>
        <v>0</v>
      </c>
      <c r="E112" s="3">
        <f>raw_csat!E112</f>
        <v>9</v>
      </c>
      <c r="F112" s="3" t="str">
        <f t="shared" si="1"/>
        <v>6 a 10 min</v>
      </c>
    </row>
    <row r="113">
      <c r="A113" s="5">
        <f>raw_csat!A113</f>
        <v>45682</v>
      </c>
      <c r="B113" s="3" t="str">
        <f>raw_csat!B113</f>
        <v>Telefone</v>
      </c>
      <c r="C113" s="3">
        <f>raw_csat!C113</f>
        <v>4</v>
      </c>
      <c r="D113" s="3">
        <f>IF(raw_csat!C113&gt;=4,1,0)
</f>
        <v>1</v>
      </c>
      <c r="E113" s="3">
        <f>raw_csat!E113</f>
        <v>30</v>
      </c>
      <c r="F113" s="3" t="str">
        <f t="shared" si="1"/>
        <v>Acima de 20 min</v>
      </c>
    </row>
    <row r="114">
      <c r="A114" s="5">
        <f>raw_csat!A114</f>
        <v>45660</v>
      </c>
      <c r="B114" s="3" t="str">
        <f>raw_csat!B114</f>
        <v>E-mail</v>
      </c>
      <c r="C114" s="3">
        <f>raw_csat!C114</f>
        <v>1</v>
      </c>
      <c r="D114" s="3">
        <f>IF(raw_csat!C114&gt;=4,1,0)
</f>
        <v>0</v>
      </c>
      <c r="E114" s="3">
        <f>raw_csat!E114</f>
        <v>37</v>
      </c>
      <c r="F114" s="3" t="str">
        <f t="shared" si="1"/>
        <v>Acima de 20 min</v>
      </c>
    </row>
    <row r="115">
      <c r="A115" s="5">
        <f>raw_csat!A115</f>
        <v>45659</v>
      </c>
      <c r="B115" s="3" t="str">
        <f>raw_csat!B115</f>
        <v>Bot</v>
      </c>
      <c r="C115" s="3">
        <f>raw_csat!C115</f>
        <v>1</v>
      </c>
      <c r="D115" s="3">
        <f>IF(raw_csat!C115&gt;=4,1,0)
</f>
        <v>0</v>
      </c>
      <c r="E115" s="3">
        <f>raw_csat!E115</f>
        <v>14</v>
      </c>
      <c r="F115" s="3" t="str">
        <f t="shared" si="1"/>
        <v>11 a 20 min</v>
      </c>
    </row>
    <row r="116">
      <c r="A116" s="5">
        <f>raw_csat!A116</f>
        <v>45671</v>
      </c>
      <c r="B116" s="3" t="str">
        <f>raw_csat!B116</f>
        <v>E-mail</v>
      </c>
      <c r="C116" s="3">
        <f>raw_csat!C116</f>
        <v>3</v>
      </c>
      <c r="D116" s="3">
        <f>IF(raw_csat!C116&gt;=4,1,0)
</f>
        <v>0</v>
      </c>
      <c r="E116" s="3">
        <f>raw_csat!E116</f>
        <v>21</v>
      </c>
      <c r="F116" s="3" t="str">
        <f t="shared" si="1"/>
        <v>Acima de 20 min</v>
      </c>
    </row>
    <row r="117">
      <c r="A117" s="5">
        <f>raw_csat!A117</f>
        <v>45661</v>
      </c>
      <c r="B117" s="3" t="str">
        <f>raw_csat!B117</f>
        <v>Bot</v>
      </c>
      <c r="C117" s="3">
        <f>raw_csat!C117</f>
        <v>4</v>
      </c>
      <c r="D117" s="3">
        <f>IF(raw_csat!C117&gt;=4,1,0)
</f>
        <v>1</v>
      </c>
      <c r="E117" s="3">
        <f>raw_csat!E117</f>
        <v>34</v>
      </c>
      <c r="F117" s="3" t="str">
        <f t="shared" si="1"/>
        <v>Acima de 20 min</v>
      </c>
    </row>
    <row r="118">
      <c r="A118" s="5">
        <f>raw_csat!A118</f>
        <v>45662</v>
      </c>
      <c r="B118" s="3" t="str">
        <f>raw_csat!B118</f>
        <v>Bot</v>
      </c>
      <c r="C118" s="3">
        <f>raw_csat!C118</f>
        <v>3</v>
      </c>
      <c r="D118" s="3">
        <f>IF(raw_csat!C118&gt;=4,1,0)
</f>
        <v>0</v>
      </c>
      <c r="E118" s="3">
        <f>raw_csat!E118</f>
        <v>43</v>
      </c>
      <c r="F118" s="3" t="str">
        <f t="shared" si="1"/>
        <v>Acima de 20 min</v>
      </c>
    </row>
    <row r="119">
      <c r="A119" s="5">
        <f>raw_csat!A119</f>
        <v>45673</v>
      </c>
      <c r="B119" s="3" t="str">
        <f>raw_csat!B119</f>
        <v>Telefone</v>
      </c>
      <c r="C119" s="3">
        <f>raw_csat!C119</f>
        <v>2</v>
      </c>
      <c r="D119" s="3">
        <f>IF(raw_csat!C119&gt;=4,1,0)
</f>
        <v>0</v>
      </c>
      <c r="E119" s="3">
        <f>raw_csat!E119</f>
        <v>18</v>
      </c>
      <c r="F119" s="3" t="str">
        <f t="shared" si="1"/>
        <v>11 a 20 min</v>
      </c>
    </row>
    <row r="120">
      <c r="A120" s="5">
        <f>raw_csat!A120</f>
        <v>45665</v>
      </c>
      <c r="B120" s="3" t="str">
        <f>raw_csat!B120</f>
        <v>WhatsApp</v>
      </c>
      <c r="C120" s="3">
        <f>raw_csat!C120</f>
        <v>2</v>
      </c>
      <c r="D120" s="3">
        <f>IF(raw_csat!C120&gt;=4,1,0)
</f>
        <v>0</v>
      </c>
      <c r="E120" s="3">
        <f>raw_csat!E120</f>
        <v>10</v>
      </c>
      <c r="F120" s="3" t="str">
        <f t="shared" si="1"/>
        <v>6 a 10 min</v>
      </c>
    </row>
    <row r="121">
      <c r="A121" s="5">
        <f>raw_csat!A121</f>
        <v>45660</v>
      </c>
      <c r="B121" s="3" t="str">
        <f>raw_csat!B121</f>
        <v>E-mail</v>
      </c>
      <c r="C121" s="3">
        <f>raw_csat!C121</f>
        <v>4</v>
      </c>
      <c r="D121" s="3">
        <f>IF(raw_csat!C121&gt;=4,1,0)
</f>
        <v>1</v>
      </c>
      <c r="E121" s="3">
        <f>raw_csat!E121</f>
        <v>43</v>
      </c>
      <c r="F121" s="3" t="str">
        <f t="shared" si="1"/>
        <v>Acima de 20 min</v>
      </c>
    </row>
    <row r="122">
      <c r="A122" s="5">
        <f>raw_csat!A122</f>
        <v>45684</v>
      </c>
      <c r="B122" s="3" t="str">
        <f>raw_csat!B122</f>
        <v>Telefone</v>
      </c>
      <c r="C122" s="3">
        <f>raw_csat!C122</f>
        <v>2</v>
      </c>
      <c r="D122" s="3">
        <f>IF(raw_csat!C122&gt;=4,1,0)
</f>
        <v>0</v>
      </c>
      <c r="E122" s="3">
        <f>raw_csat!E122</f>
        <v>6</v>
      </c>
      <c r="F122" s="3" t="str">
        <f t="shared" si="1"/>
        <v>6 a 10 min</v>
      </c>
    </row>
    <row r="123">
      <c r="A123" s="5">
        <f>raw_csat!A123</f>
        <v>45669</v>
      </c>
      <c r="B123" s="3" t="str">
        <f>raw_csat!B123</f>
        <v>Bot</v>
      </c>
      <c r="C123" s="3">
        <f>raw_csat!C123</f>
        <v>3</v>
      </c>
      <c r="D123" s="3">
        <f>IF(raw_csat!C123&gt;=4,1,0)
</f>
        <v>0</v>
      </c>
      <c r="E123" s="3">
        <f>raw_csat!E123</f>
        <v>6</v>
      </c>
      <c r="F123" s="3" t="str">
        <f t="shared" si="1"/>
        <v>6 a 10 min</v>
      </c>
    </row>
    <row r="124">
      <c r="A124" s="5">
        <f>raw_csat!A124</f>
        <v>45664</v>
      </c>
      <c r="B124" s="3" t="str">
        <f>raw_csat!B124</f>
        <v>Chat</v>
      </c>
      <c r="C124" s="3">
        <f>raw_csat!C124</f>
        <v>4</v>
      </c>
      <c r="D124" s="3">
        <f>IF(raw_csat!C124&gt;=4,1,0)
</f>
        <v>1</v>
      </c>
      <c r="E124" s="3">
        <f>raw_csat!E124</f>
        <v>43</v>
      </c>
      <c r="F124" s="3" t="str">
        <f t="shared" si="1"/>
        <v>Acima de 20 min</v>
      </c>
    </row>
    <row r="125">
      <c r="A125" s="5">
        <f>raw_csat!A125</f>
        <v>45664</v>
      </c>
      <c r="B125" s="3" t="str">
        <f>raw_csat!B125</f>
        <v>Chat</v>
      </c>
      <c r="C125" s="3">
        <f>raw_csat!C125</f>
        <v>5</v>
      </c>
      <c r="D125" s="3">
        <f>IF(raw_csat!C125&gt;=4,1,0)
</f>
        <v>1</v>
      </c>
      <c r="E125" s="3">
        <f>raw_csat!E125</f>
        <v>31</v>
      </c>
      <c r="F125" s="3" t="str">
        <f t="shared" si="1"/>
        <v>Acima de 20 min</v>
      </c>
    </row>
    <row r="126">
      <c r="A126" s="5">
        <f>raw_csat!A126</f>
        <v>45673</v>
      </c>
      <c r="B126" s="3" t="str">
        <f>raw_csat!B126</f>
        <v>Telefone</v>
      </c>
      <c r="C126" s="3">
        <f>raw_csat!C126</f>
        <v>4</v>
      </c>
      <c r="D126" s="3">
        <f>IF(raw_csat!C126&gt;=4,1,0)
</f>
        <v>1</v>
      </c>
      <c r="E126" s="3">
        <f>raw_csat!E126</f>
        <v>36</v>
      </c>
      <c r="F126" s="3" t="str">
        <f t="shared" si="1"/>
        <v>Acima de 20 min</v>
      </c>
    </row>
    <row r="127">
      <c r="A127" s="5">
        <f>raw_csat!A127</f>
        <v>45679</v>
      </c>
      <c r="B127" s="3" t="str">
        <f>raw_csat!B127</f>
        <v>Chat</v>
      </c>
      <c r="C127" s="3">
        <f>raw_csat!C127</f>
        <v>3</v>
      </c>
      <c r="D127" s="3">
        <f>IF(raw_csat!C127&gt;=4,1,0)
</f>
        <v>0</v>
      </c>
      <c r="E127" s="3">
        <f>raw_csat!E127</f>
        <v>17</v>
      </c>
      <c r="F127" s="3" t="str">
        <f t="shared" si="1"/>
        <v>11 a 20 min</v>
      </c>
    </row>
    <row r="128">
      <c r="A128" s="5">
        <f>raw_csat!A128</f>
        <v>45686</v>
      </c>
      <c r="B128" s="3" t="str">
        <f>raw_csat!B128</f>
        <v>Telefone</v>
      </c>
      <c r="C128" s="3">
        <f>raw_csat!C128</f>
        <v>5</v>
      </c>
      <c r="D128" s="3">
        <f>IF(raw_csat!C128&gt;=4,1,0)
</f>
        <v>1</v>
      </c>
      <c r="E128" s="3">
        <f>raw_csat!E128</f>
        <v>44</v>
      </c>
      <c r="F128" s="3" t="str">
        <f t="shared" si="1"/>
        <v>Acima de 20 min</v>
      </c>
    </row>
    <row r="129">
      <c r="A129" s="5">
        <f>raw_csat!A129</f>
        <v>45664</v>
      </c>
      <c r="B129" s="3" t="str">
        <f>raw_csat!B129</f>
        <v>Chat</v>
      </c>
      <c r="C129" s="3">
        <f>raw_csat!C129</f>
        <v>2</v>
      </c>
      <c r="D129" s="3">
        <f>IF(raw_csat!C129&gt;=4,1,0)
</f>
        <v>0</v>
      </c>
      <c r="E129" s="3">
        <f>raw_csat!E129</f>
        <v>4</v>
      </c>
      <c r="F129" s="3" t="str">
        <f t="shared" si="1"/>
        <v>Até 5 min</v>
      </c>
    </row>
    <row r="130">
      <c r="A130" s="5">
        <f>raw_csat!A130</f>
        <v>45667</v>
      </c>
      <c r="B130" s="3" t="str">
        <f>raw_csat!B130</f>
        <v>Bot</v>
      </c>
      <c r="C130" s="3">
        <f>raw_csat!C130</f>
        <v>2</v>
      </c>
      <c r="D130" s="3">
        <f>IF(raw_csat!C130&gt;=4,1,0)
</f>
        <v>0</v>
      </c>
      <c r="E130" s="3">
        <f>raw_csat!E130</f>
        <v>39</v>
      </c>
      <c r="F130" s="3" t="str">
        <f t="shared" si="1"/>
        <v>Acima de 20 min</v>
      </c>
    </row>
    <row r="131">
      <c r="A131" s="5">
        <f>raw_csat!A131</f>
        <v>45682</v>
      </c>
      <c r="B131" s="3" t="str">
        <f>raw_csat!B131</f>
        <v>E-mail</v>
      </c>
      <c r="C131" s="3">
        <f>raw_csat!C131</f>
        <v>4</v>
      </c>
      <c r="D131" s="3">
        <f>IF(raw_csat!C131&gt;=4,1,0)
</f>
        <v>1</v>
      </c>
      <c r="E131" s="3">
        <f>raw_csat!E131</f>
        <v>12</v>
      </c>
      <c r="F131" s="3" t="str">
        <f t="shared" si="1"/>
        <v>11 a 20 min</v>
      </c>
    </row>
    <row r="132">
      <c r="A132" s="5">
        <f>raw_csat!A132</f>
        <v>45681</v>
      </c>
      <c r="B132" s="3" t="str">
        <f>raw_csat!B132</f>
        <v>WhatsApp</v>
      </c>
      <c r="C132" s="3">
        <f>raw_csat!C132</f>
        <v>5</v>
      </c>
      <c r="D132" s="3">
        <f>IF(raw_csat!C132&gt;=4,1,0)
</f>
        <v>1</v>
      </c>
      <c r="E132" s="3">
        <f>raw_csat!E132</f>
        <v>42</v>
      </c>
      <c r="F132" s="3" t="str">
        <f t="shared" si="1"/>
        <v>Acima de 20 min</v>
      </c>
    </row>
    <row r="133">
      <c r="A133" s="5">
        <f>raw_csat!A133</f>
        <v>45667</v>
      </c>
      <c r="B133" s="3" t="str">
        <f>raw_csat!B133</f>
        <v>Bot</v>
      </c>
      <c r="C133" s="3">
        <f>raw_csat!C133</f>
        <v>4</v>
      </c>
      <c r="D133" s="3">
        <f>IF(raw_csat!C133&gt;=4,1,0)
</f>
        <v>1</v>
      </c>
      <c r="E133" s="3">
        <f>raw_csat!E133</f>
        <v>43</v>
      </c>
      <c r="F133" s="3" t="str">
        <f t="shared" si="1"/>
        <v>Acima de 20 min</v>
      </c>
    </row>
    <row r="134">
      <c r="A134" s="5">
        <f>raw_csat!A134</f>
        <v>45685</v>
      </c>
      <c r="B134" s="3" t="str">
        <f>raw_csat!B134</f>
        <v>E-mail</v>
      </c>
      <c r="C134" s="3">
        <f>raw_csat!C134</f>
        <v>5</v>
      </c>
      <c r="D134" s="3">
        <f>IF(raw_csat!C134&gt;=4,1,0)
</f>
        <v>1</v>
      </c>
      <c r="E134" s="3">
        <f>raw_csat!E134</f>
        <v>32</v>
      </c>
      <c r="F134" s="3" t="str">
        <f t="shared" si="1"/>
        <v>Acima de 20 min</v>
      </c>
    </row>
    <row r="135">
      <c r="A135" s="5">
        <f>raw_csat!A135</f>
        <v>45666</v>
      </c>
      <c r="B135" s="3" t="str">
        <f>raw_csat!B135</f>
        <v>E-mail</v>
      </c>
      <c r="C135" s="3">
        <f>raw_csat!C135</f>
        <v>2</v>
      </c>
      <c r="D135" s="3">
        <f>IF(raw_csat!C135&gt;=4,1,0)
</f>
        <v>0</v>
      </c>
      <c r="E135" s="3">
        <f>raw_csat!E135</f>
        <v>29</v>
      </c>
      <c r="F135" s="3" t="str">
        <f t="shared" si="1"/>
        <v>Acima de 20 min</v>
      </c>
    </row>
    <row r="136">
      <c r="A136" s="5">
        <f>raw_csat!A136</f>
        <v>45684</v>
      </c>
      <c r="B136" s="3" t="str">
        <f>raw_csat!B136</f>
        <v>E-mail</v>
      </c>
      <c r="C136" s="3">
        <f>raw_csat!C136</f>
        <v>1</v>
      </c>
      <c r="D136" s="3">
        <f>IF(raw_csat!C136&gt;=4,1,0)
</f>
        <v>0</v>
      </c>
      <c r="E136" s="3">
        <f>raw_csat!E136</f>
        <v>6</v>
      </c>
      <c r="F136" s="3" t="str">
        <f t="shared" si="1"/>
        <v>6 a 10 min</v>
      </c>
    </row>
    <row r="137">
      <c r="A137" s="5">
        <f>raw_csat!A137</f>
        <v>45661</v>
      </c>
      <c r="B137" s="3" t="str">
        <f>raw_csat!B137</f>
        <v>WhatsApp</v>
      </c>
      <c r="C137" s="3">
        <f>raw_csat!C137</f>
        <v>1</v>
      </c>
      <c r="D137" s="3">
        <f>IF(raw_csat!C137&gt;=4,1,0)
</f>
        <v>0</v>
      </c>
      <c r="E137" s="3">
        <f>raw_csat!E137</f>
        <v>8</v>
      </c>
      <c r="F137" s="3" t="str">
        <f t="shared" si="1"/>
        <v>6 a 10 min</v>
      </c>
    </row>
    <row r="138">
      <c r="A138" s="5">
        <f>raw_csat!A138</f>
        <v>45684</v>
      </c>
      <c r="B138" s="3" t="str">
        <f>raw_csat!B138</f>
        <v>Bot</v>
      </c>
      <c r="C138" s="3">
        <f>raw_csat!C138</f>
        <v>4</v>
      </c>
      <c r="D138" s="3">
        <f>IF(raw_csat!C138&gt;=4,1,0)
</f>
        <v>1</v>
      </c>
      <c r="E138" s="3">
        <f>raw_csat!E138</f>
        <v>12</v>
      </c>
      <c r="F138" s="3" t="str">
        <f t="shared" si="1"/>
        <v>11 a 20 min</v>
      </c>
    </row>
    <row r="139">
      <c r="A139" s="5">
        <f>raw_csat!A139</f>
        <v>45666</v>
      </c>
      <c r="B139" s="3" t="str">
        <f>raw_csat!B139</f>
        <v>Chat</v>
      </c>
      <c r="C139" s="3">
        <f>raw_csat!C139</f>
        <v>2</v>
      </c>
      <c r="D139" s="3">
        <f>IF(raw_csat!C139&gt;=4,1,0)
</f>
        <v>0</v>
      </c>
      <c r="E139" s="3">
        <f>raw_csat!E139</f>
        <v>12</v>
      </c>
      <c r="F139" s="3" t="str">
        <f t="shared" si="1"/>
        <v>11 a 20 min</v>
      </c>
    </row>
    <row r="140">
      <c r="A140" s="5">
        <f>raw_csat!A140</f>
        <v>45659</v>
      </c>
      <c r="B140" s="3" t="str">
        <f>raw_csat!B140</f>
        <v>Chat</v>
      </c>
      <c r="C140" s="3">
        <f>raw_csat!C140</f>
        <v>1</v>
      </c>
      <c r="D140" s="3">
        <f>IF(raw_csat!C140&gt;=4,1,0)
</f>
        <v>0</v>
      </c>
      <c r="E140" s="3">
        <f>raw_csat!E140</f>
        <v>8</v>
      </c>
      <c r="F140" s="3" t="str">
        <f t="shared" si="1"/>
        <v>6 a 10 min</v>
      </c>
    </row>
    <row r="141">
      <c r="A141" s="5">
        <f>raw_csat!A141</f>
        <v>45679</v>
      </c>
      <c r="B141" s="3" t="str">
        <f>raw_csat!B141</f>
        <v>WhatsApp</v>
      </c>
      <c r="C141" s="3">
        <f>raw_csat!C141</f>
        <v>5</v>
      </c>
      <c r="D141" s="3">
        <f>IF(raw_csat!C141&gt;=4,1,0)
</f>
        <v>1</v>
      </c>
      <c r="E141" s="3">
        <f>raw_csat!E141</f>
        <v>44</v>
      </c>
      <c r="F141" s="3" t="str">
        <f t="shared" si="1"/>
        <v>Acima de 20 min</v>
      </c>
    </row>
    <row r="142">
      <c r="A142" s="5">
        <f>raw_csat!A142</f>
        <v>45685</v>
      </c>
      <c r="B142" s="3" t="str">
        <f>raw_csat!B142</f>
        <v>Bot</v>
      </c>
      <c r="C142" s="3">
        <f>raw_csat!C142</f>
        <v>4</v>
      </c>
      <c r="D142" s="3">
        <f>IF(raw_csat!C142&gt;=4,1,0)
</f>
        <v>1</v>
      </c>
      <c r="E142" s="3">
        <f>raw_csat!E142</f>
        <v>32</v>
      </c>
      <c r="F142" s="3" t="str">
        <f t="shared" si="1"/>
        <v>Acima de 20 min</v>
      </c>
    </row>
    <row r="143">
      <c r="A143" s="5">
        <f>raw_csat!A143</f>
        <v>45658</v>
      </c>
      <c r="B143" s="3" t="str">
        <f>raw_csat!B143</f>
        <v>Chat</v>
      </c>
      <c r="C143" s="3">
        <f>raw_csat!C143</f>
        <v>3</v>
      </c>
      <c r="D143" s="3">
        <f>IF(raw_csat!C143&gt;=4,1,0)
</f>
        <v>0</v>
      </c>
      <c r="E143" s="3">
        <f>raw_csat!E143</f>
        <v>3</v>
      </c>
      <c r="F143" s="3" t="str">
        <f t="shared" si="1"/>
        <v>Até 5 min</v>
      </c>
    </row>
    <row r="144">
      <c r="A144" s="5">
        <f>raw_csat!A144</f>
        <v>45682</v>
      </c>
      <c r="B144" s="3" t="str">
        <f>raw_csat!B144</f>
        <v>Telefone</v>
      </c>
      <c r="C144" s="3">
        <f>raw_csat!C144</f>
        <v>2</v>
      </c>
      <c r="D144" s="3">
        <f>IF(raw_csat!C144&gt;=4,1,0)
</f>
        <v>0</v>
      </c>
      <c r="E144" s="3">
        <f>raw_csat!E144</f>
        <v>27</v>
      </c>
      <c r="F144" s="3" t="str">
        <f t="shared" si="1"/>
        <v>Acima de 20 min</v>
      </c>
    </row>
    <row r="145">
      <c r="A145" s="5">
        <f>raw_csat!A145</f>
        <v>45665</v>
      </c>
      <c r="B145" s="3" t="str">
        <f>raw_csat!B145</f>
        <v>Telefone</v>
      </c>
      <c r="C145" s="3">
        <f>raw_csat!C145</f>
        <v>2</v>
      </c>
      <c r="D145" s="3">
        <f>IF(raw_csat!C145&gt;=4,1,0)
</f>
        <v>0</v>
      </c>
      <c r="E145" s="3">
        <f>raw_csat!E145</f>
        <v>31</v>
      </c>
      <c r="F145" s="3" t="str">
        <f t="shared" si="1"/>
        <v>Acima de 20 min</v>
      </c>
    </row>
    <row r="146">
      <c r="A146" s="5">
        <f>raw_csat!A146</f>
        <v>45676</v>
      </c>
      <c r="B146" s="3" t="str">
        <f>raw_csat!B146</f>
        <v>WhatsApp</v>
      </c>
      <c r="C146" s="3">
        <f>raw_csat!C146</f>
        <v>1</v>
      </c>
      <c r="D146" s="3">
        <f>IF(raw_csat!C146&gt;=4,1,0)
</f>
        <v>0</v>
      </c>
      <c r="E146" s="3">
        <f>raw_csat!E146</f>
        <v>45</v>
      </c>
      <c r="F146" s="3" t="str">
        <f t="shared" si="1"/>
        <v>Acima de 20 min</v>
      </c>
    </row>
    <row r="147">
      <c r="A147" s="5">
        <f>raw_csat!A147</f>
        <v>45668</v>
      </c>
      <c r="B147" s="3" t="str">
        <f>raw_csat!B147</f>
        <v>WhatsApp</v>
      </c>
      <c r="C147" s="3">
        <f>raw_csat!C147</f>
        <v>4</v>
      </c>
      <c r="D147" s="3">
        <f>IF(raw_csat!C147&gt;=4,1,0)
</f>
        <v>1</v>
      </c>
      <c r="E147" s="3">
        <f>raw_csat!E147</f>
        <v>37</v>
      </c>
      <c r="F147" s="3" t="str">
        <f t="shared" si="1"/>
        <v>Acima de 20 min</v>
      </c>
    </row>
    <row r="148">
      <c r="A148" s="5">
        <f>raw_csat!A148</f>
        <v>45685</v>
      </c>
      <c r="B148" s="3" t="str">
        <f>raw_csat!B148</f>
        <v>Bot</v>
      </c>
      <c r="C148" s="3">
        <f>raw_csat!C148</f>
        <v>4</v>
      </c>
      <c r="D148" s="3">
        <f>IF(raw_csat!C148&gt;=4,1,0)
</f>
        <v>1</v>
      </c>
      <c r="E148" s="3">
        <f>raw_csat!E148</f>
        <v>42</v>
      </c>
      <c r="F148" s="3" t="str">
        <f t="shared" si="1"/>
        <v>Acima de 20 min</v>
      </c>
    </row>
    <row r="149">
      <c r="A149" s="5">
        <f>raw_csat!A149</f>
        <v>45669</v>
      </c>
      <c r="B149" s="3" t="str">
        <f>raw_csat!B149</f>
        <v>E-mail</v>
      </c>
      <c r="C149" s="3">
        <f>raw_csat!C149</f>
        <v>5</v>
      </c>
      <c r="D149" s="3">
        <f>IF(raw_csat!C149&gt;=4,1,0)
</f>
        <v>1</v>
      </c>
      <c r="E149" s="3">
        <f>raw_csat!E149</f>
        <v>42</v>
      </c>
      <c r="F149" s="3" t="str">
        <f t="shared" si="1"/>
        <v>Acima de 20 min</v>
      </c>
    </row>
    <row r="150">
      <c r="A150" s="5">
        <f>raw_csat!A150</f>
        <v>45673</v>
      </c>
      <c r="B150" s="3" t="str">
        <f>raw_csat!B150</f>
        <v>E-mail</v>
      </c>
      <c r="C150" s="3">
        <f>raw_csat!C150</f>
        <v>1</v>
      </c>
      <c r="D150" s="3">
        <f>IF(raw_csat!C150&gt;=4,1,0)
</f>
        <v>0</v>
      </c>
      <c r="E150" s="3">
        <f>raw_csat!E150</f>
        <v>26</v>
      </c>
      <c r="F150" s="3" t="str">
        <f t="shared" si="1"/>
        <v>Acima de 20 min</v>
      </c>
    </row>
    <row r="151">
      <c r="A151" s="5">
        <f>raw_csat!A151</f>
        <v>45658</v>
      </c>
      <c r="B151" s="3" t="str">
        <f>raw_csat!B151</f>
        <v>Bot</v>
      </c>
      <c r="C151" s="3">
        <f>raw_csat!C151</f>
        <v>5</v>
      </c>
      <c r="D151" s="3">
        <f>IF(raw_csat!C151&gt;=4,1,0)
</f>
        <v>1</v>
      </c>
      <c r="E151" s="3">
        <f>raw_csat!E151</f>
        <v>7</v>
      </c>
      <c r="F151" s="3" t="str">
        <f t="shared" si="1"/>
        <v>6 a 10 min</v>
      </c>
    </row>
    <row r="152">
      <c r="A152" s="5">
        <f>raw_csat!A152</f>
        <v>45666</v>
      </c>
      <c r="B152" s="3" t="str">
        <f>raw_csat!B152</f>
        <v>Chat</v>
      </c>
      <c r="C152" s="3">
        <f>raw_csat!C152</f>
        <v>2</v>
      </c>
      <c r="D152" s="3">
        <f>IF(raw_csat!C152&gt;=4,1,0)
</f>
        <v>0</v>
      </c>
      <c r="E152" s="3">
        <f>raw_csat!E152</f>
        <v>5</v>
      </c>
      <c r="F152" s="3" t="str">
        <f t="shared" si="1"/>
        <v>Até 5 min</v>
      </c>
    </row>
    <row r="153">
      <c r="A153" s="5">
        <f>raw_csat!A153</f>
        <v>45676</v>
      </c>
      <c r="B153" s="3" t="str">
        <f>raw_csat!B153</f>
        <v>E-mail</v>
      </c>
      <c r="C153" s="3">
        <f>raw_csat!C153</f>
        <v>5</v>
      </c>
      <c r="D153" s="3">
        <f>IF(raw_csat!C153&gt;=4,1,0)
</f>
        <v>1</v>
      </c>
      <c r="E153" s="3">
        <f>raw_csat!E153</f>
        <v>13</v>
      </c>
      <c r="F153" s="3" t="str">
        <f t="shared" si="1"/>
        <v>11 a 20 min</v>
      </c>
    </row>
    <row r="154">
      <c r="A154" s="5">
        <f>raw_csat!A154</f>
        <v>45661</v>
      </c>
      <c r="B154" s="3" t="str">
        <f>raw_csat!B154</f>
        <v>WhatsApp</v>
      </c>
      <c r="C154" s="3">
        <f>raw_csat!C154</f>
        <v>3</v>
      </c>
      <c r="D154" s="3">
        <f>IF(raw_csat!C154&gt;=4,1,0)
</f>
        <v>0</v>
      </c>
      <c r="E154" s="3">
        <f>raw_csat!E154</f>
        <v>13</v>
      </c>
      <c r="F154" s="3" t="str">
        <f t="shared" si="1"/>
        <v>11 a 20 min</v>
      </c>
    </row>
    <row r="155">
      <c r="A155" s="5">
        <f>raw_csat!A155</f>
        <v>45665</v>
      </c>
      <c r="B155" s="3" t="str">
        <f>raw_csat!B155</f>
        <v>Telefone</v>
      </c>
      <c r="C155" s="3">
        <f>raw_csat!C155</f>
        <v>1</v>
      </c>
      <c r="D155" s="3">
        <f>IF(raw_csat!C155&gt;=4,1,0)
</f>
        <v>0</v>
      </c>
      <c r="E155" s="3">
        <f>raw_csat!E155</f>
        <v>20</v>
      </c>
      <c r="F155" s="3" t="str">
        <f t="shared" si="1"/>
        <v>11 a 20 min</v>
      </c>
    </row>
    <row r="156">
      <c r="A156" s="5">
        <f>raw_csat!A156</f>
        <v>45664</v>
      </c>
      <c r="B156" s="3" t="str">
        <f>raw_csat!B156</f>
        <v>Bot</v>
      </c>
      <c r="C156" s="3">
        <f>raw_csat!C156</f>
        <v>2</v>
      </c>
      <c r="D156" s="3">
        <f>IF(raw_csat!C156&gt;=4,1,0)
</f>
        <v>0</v>
      </c>
      <c r="E156" s="3">
        <f>raw_csat!E156</f>
        <v>35</v>
      </c>
      <c r="F156" s="3" t="str">
        <f t="shared" si="1"/>
        <v>Acima de 20 min</v>
      </c>
    </row>
    <row r="157">
      <c r="A157" s="5">
        <f>raw_csat!A157</f>
        <v>45679</v>
      </c>
      <c r="B157" s="3" t="str">
        <f>raw_csat!B157</f>
        <v>Chat</v>
      </c>
      <c r="C157" s="3">
        <f>raw_csat!C157</f>
        <v>3</v>
      </c>
      <c r="D157" s="3">
        <f>IF(raw_csat!C157&gt;=4,1,0)
</f>
        <v>0</v>
      </c>
      <c r="E157" s="3">
        <f>raw_csat!E157</f>
        <v>40</v>
      </c>
      <c r="F157" s="3" t="str">
        <f t="shared" si="1"/>
        <v>Acima de 20 min</v>
      </c>
    </row>
    <row r="158">
      <c r="A158" s="5">
        <f>raw_csat!A158</f>
        <v>45678</v>
      </c>
      <c r="B158" s="3" t="str">
        <f>raw_csat!B158</f>
        <v>Chat</v>
      </c>
      <c r="C158" s="3">
        <f>raw_csat!C158</f>
        <v>5</v>
      </c>
      <c r="D158" s="3">
        <f>IF(raw_csat!C158&gt;=4,1,0)
</f>
        <v>1</v>
      </c>
      <c r="E158" s="3">
        <f>raw_csat!E158</f>
        <v>43</v>
      </c>
      <c r="F158" s="3" t="str">
        <f t="shared" si="1"/>
        <v>Acima de 20 min</v>
      </c>
    </row>
    <row r="159">
      <c r="A159" s="5">
        <f>raw_csat!A159</f>
        <v>45680</v>
      </c>
      <c r="B159" s="3" t="str">
        <f>raw_csat!B159</f>
        <v>Bot</v>
      </c>
      <c r="C159" s="3">
        <f>raw_csat!C159</f>
        <v>5</v>
      </c>
      <c r="D159" s="3">
        <f>IF(raw_csat!C159&gt;=4,1,0)
</f>
        <v>1</v>
      </c>
      <c r="E159" s="3">
        <f>raw_csat!E159</f>
        <v>36</v>
      </c>
      <c r="F159" s="3" t="str">
        <f t="shared" si="1"/>
        <v>Acima de 20 min</v>
      </c>
    </row>
    <row r="160">
      <c r="A160" s="5">
        <f>raw_csat!A160</f>
        <v>45671</v>
      </c>
      <c r="B160" s="3" t="str">
        <f>raw_csat!B160</f>
        <v>Telefone</v>
      </c>
      <c r="C160" s="3">
        <f>raw_csat!C160</f>
        <v>3</v>
      </c>
      <c r="D160" s="3">
        <f>IF(raw_csat!C160&gt;=4,1,0)
</f>
        <v>0</v>
      </c>
      <c r="E160" s="3">
        <f>raw_csat!E160</f>
        <v>42</v>
      </c>
      <c r="F160" s="3" t="str">
        <f t="shared" si="1"/>
        <v>Acima de 20 min</v>
      </c>
    </row>
    <row r="161">
      <c r="A161" s="5">
        <f>raw_csat!A161</f>
        <v>45674</v>
      </c>
      <c r="B161" s="3" t="str">
        <f>raw_csat!B161</f>
        <v>Chat</v>
      </c>
      <c r="C161" s="3">
        <f>raw_csat!C161</f>
        <v>4</v>
      </c>
      <c r="D161" s="3">
        <f>IF(raw_csat!C161&gt;=4,1,0)
</f>
        <v>1</v>
      </c>
      <c r="E161" s="3">
        <f>raw_csat!E161</f>
        <v>28</v>
      </c>
      <c r="F161" s="3" t="str">
        <f t="shared" si="1"/>
        <v>Acima de 20 min</v>
      </c>
    </row>
    <row r="162">
      <c r="A162" s="5">
        <f>raw_csat!A162</f>
        <v>45661</v>
      </c>
      <c r="B162" s="3" t="str">
        <f>raw_csat!B162</f>
        <v>E-mail</v>
      </c>
      <c r="C162" s="3">
        <f>raw_csat!C162</f>
        <v>3</v>
      </c>
      <c r="D162" s="3">
        <f>IF(raw_csat!C162&gt;=4,1,0)
</f>
        <v>0</v>
      </c>
      <c r="E162" s="3">
        <f>raw_csat!E162</f>
        <v>7</v>
      </c>
      <c r="F162" s="3" t="str">
        <f t="shared" si="1"/>
        <v>6 a 10 min</v>
      </c>
    </row>
    <row r="163">
      <c r="A163" s="5">
        <f>raw_csat!A163</f>
        <v>45683</v>
      </c>
      <c r="B163" s="3" t="str">
        <f>raw_csat!B163</f>
        <v>Telefone</v>
      </c>
      <c r="C163" s="3">
        <f>raw_csat!C163</f>
        <v>2</v>
      </c>
      <c r="D163" s="3">
        <f>IF(raw_csat!C163&gt;=4,1,0)
</f>
        <v>0</v>
      </c>
      <c r="E163" s="3">
        <f>raw_csat!E163</f>
        <v>32</v>
      </c>
      <c r="F163" s="3" t="str">
        <f t="shared" si="1"/>
        <v>Acima de 20 min</v>
      </c>
    </row>
    <row r="164">
      <c r="A164" s="5">
        <f>raw_csat!A164</f>
        <v>45659</v>
      </c>
      <c r="B164" s="3" t="str">
        <f>raw_csat!B164</f>
        <v>WhatsApp</v>
      </c>
      <c r="C164" s="3">
        <f>raw_csat!C164</f>
        <v>5</v>
      </c>
      <c r="D164" s="3">
        <f>IF(raw_csat!C164&gt;=4,1,0)
</f>
        <v>1</v>
      </c>
      <c r="E164" s="3">
        <f>raw_csat!E164</f>
        <v>12</v>
      </c>
      <c r="F164" s="3" t="str">
        <f t="shared" si="1"/>
        <v>11 a 20 min</v>
      </c>
    </row>
    <row r="165">
      <c r="A165" s="5">
        <f>raw_csat!A165</f>
        <v>45681</v>
      </c>
      <c r="B165" s="3" t="str">
        <f>raw_csat!B165</f>
        <v>Chat</v>
      </c>
      <c r="C165" s="3">
        <f>raw_csat!C165</f>
        <v>1</v>
      </c>
      <c r="D165" s="3">
        <f>IF(raw_csat!C165&gt;=4,1,0)
</f>
        <v>0</v>
      </c>
      <c r="E165" s="3">
        <f>raw_csat!E165</f>
        <v>38</v>
      </c>
      <c r="F165" s="3" t="str">
        <f t="shared" si="1"/>
        <v>Acima de 20 min</v>
      </c>
    </row>
    <row r="166">
      <c r="A166" s="5">
        <f>raw_csat!A166</f>
        <v>45658</v>
      </c>
      <c r="B166" s="3" t="str">
        <f>raw_csat!B166</f>
        <v>Bot</v>
      </c>
      <c r="C166" s="3">
        <f>raw_csat!C166</f>
        <v>2</v>
      </c>
      <c r="D166" s="3">
        <f>IF(raw_csat!C166&gt;=4,1,0)
</f>
        <v>0</v>
      </c>
      <c r="E166" s="3">
        <f>raw_csat!E166</f>
        <v>45</v>
      </c>
      <c r="F166" s="3" t="str">
        <f t="shared" si="1"/>
        <v>Acima de 20 min</v>
      </c>
    </row>
    <row r="167">
      <c r="A167" s="5">
        <f>raw_csat!A167</f>
        <v>45666</v>
      </c>
      <c r="B167" s="3" t="str">
        <f>raw_csat!B167</f>
        <v>Telefone</v>
      </c>
      <c r="C167" s="3">
        <f>raw_csat!C167</f>
        <v>4</v>
      </c>
      <c r="D167" s="3">
        <f>IF(raw_csat!C167&gt;=4,1,0)
</f>
        <v>1</v>
      </c>
      <c r="E167" s="3">
        <f>raw_csat!E167</f>
        <v>37</v>
      </c>
      <c r="F167" s="3" t="str">
        <f t="shared" si="1"/>
        <v>Acima de 20 min</v>
      </c>
    </row>
    <row r="168">
      <c r="A168" s="5">
        <f>raw_csat!A168</f>
        <v>45677</v>
      </c>
      <c r="B168" s="3" t="str">
        <f>raw_csat!B168</f>
        <v>E-mail</v>
      </c>
      <c r="C168" s="3">
        <f>raw_csat!C168</f>
        <v>3</v>
      </c>
      <c r="D168" s="3">
        <f>IF(raw_csat!C168&gt;=4,1,0)
</f>
        <v>0</v>
      </c>
      <c r="E168" s="3">
        <f>raw_csat!E168</f>
        <v>29</v>
      </c>
      <c r="F168" s="3" t="str">
        <f t="shared" si="1"/>
        <v>Acima de 20 min</v>
      </c>
    </row>
    <row r="169">
      <c r="A169" s="5">
        <f>raw_csat!A169</f>
        <v>45677</v>
      </c>
      <c r="B169" s="3" t="str">
        <f>raw_csat!B169</f>
        <v>Bot</v>
      </c>
      <c r="C169" s="3">
        <f>raw_csat!C169</f>
        <v>5</v>
      </c>
      <c r="D169" s="3">
        <f>IF(raw_csat!C169&gt;=4,1,0)
</f>
        <v>1</v>
      </c>
      <c r="E169" s="3">
        <f>raw_csat!E169</f>
        <v>15</v>
      </c>
      <c r="F169" s="3" t="str">
        <f t="shared" si="1"/>
        <v>11 a 20 min</v>
      </c>
    </row>
    <row r="170">
      <c r="A170" s="5">
        <f>raw_csat!A170</f>
        <v>45679</v>
      </c>
      <c r="B170" s="3" t="str">
        <f>raw_csat!B170</f>
        <v>Chat</v>
      </c>
      <c r="C170" s="3">
        <f>raw_csat!C170</f>
        <v>5</v>
      </c>
      <c r="D170" s="3">
        <f>IF(raw_csat!C170&gt;=4,1,0)
</f>
        <v>1</v>
      </c>
      <c r="E170" s="3">
        <f>raw_csat!E170</f>
        <v>28</v>
      </c>
      <c r="F170" s="3" t="str">
        <f t="shared" si="1"/>
        <v>Acima de 20 min</v>
      </c>
    </row>
    <row r="171">
      <c r="A171" s="5">
        <f>raw_csat!A171</f>
        <v>45666</v>
      </c>
      <c r="B171" s="3" t="str">
        <f>raw_csat!B171</f>
        <v>Bot</v>
      </c>
      <c r="C171" s="3">
        <f>raw_csat!C171</f>
        <v>2</v>
      </c>
      <c r="D171" s="3">
        <f>IF(raw_csat!C171&gt;=4,1,0)
</f>
        <v>0</v>
      </c>
      <c r="E171" s="3">
        <f>raw_csat!E171</f>
        <v>39</v>
      </c>
      <c r="F171" s="3" t="str">
        <f t="shared" si="1"/>
        <v>Acima de 20 min</v>
      </c>
    </row>
    <row r="172">
      <c r="A172" s="5">
        <f>raw_csat!A172</f>
        <v>45678</v>
      </c>
      <c r="B172" s="3" t="str">
        <f>raw_csat!B172</f>
        <v>WhatsApp</v>
      </c>
      <c r="C172" s="3">
        <f>raw_csat!C172</f>
        <v>5</v>
      </c>
      <c r="D172" s="3">
        <f>IF(raw_csat!C172&gt;=4,1,0)
</f>
        <v>1</v>
      </c>
      <c r="E172" s="3">
        <f>raw_csat!E172</f>
        <v>41</v>
      </c>
      <c r="F172" s="3" t="str">
        <f t="shared" si="1"/>
        <v>Acima de 20 min</v>
      </c>
    </row>
    <row r="173">
      <c r="A173" s="5">
        <f>raw_csat!A173</f>
        <v>45684</v>
      </c>
      <c r="B173" s="3" t="str">
        <f>raw_csat!B173</f>
        <v>Bot</v>
      </c>
      <c r="C173" s="3">
        <f>raw_csat!C173</f>
        <v>2</v>
      </c>
      <c r="D173" s="3">
        <f>IF(raw_csat!C173&gt;=4,1,0)
</f>
        <v>0</v>
      </c>
      <c r="E173" s="3">
        <f>raw_csat!E173</f>
        <v>10</v>
      </c>
      <c r="F173" s="3" t="str">
        <f t="shared" si="1"/>
        <v>6 a 10 min</v>
      </c>
    </row>
    <row r="174">
      <c r="A174" s="5">
        <f>raw_csat!A174</f>
        <v>45678</v>
      </c>
      <c r="B174" s="3" t="str">
        <f>raw_csat!B174</f>
        <v>E-mail</v>
      </c>
      <c r="C174" s="3">
        <f>raw_csat!C174</f>
        <v>3</v>
      </c>
      <c r="D174" s="3">
        <f>IF(raw_csat!C174&gt;=4,1,0)
</f>
        <v>0</v>
      </c>
      <c r="E174" s="3">
        <f>raw_csat!E174</f>
        <v>19</v>
      </c>
      <c r="F174" s="3" t="str">
        <f t="shared" si="1"/>
        <v>11 a 20 min</v>
      </c>
    </row>
    <row r="175">
      <c r="A175" s="5">
        <f>raw_csat!A175</f>
        <v>45677</v>
      </c>
      <c r="B175" s="3" t="str">
        <f>raw_csat!B175</f>
        <v>Bot</v>
      </c>
      <c r="C175" s="3">
        <f>raw_csat!C175</f>
        <v>3</v>
      </c>
      <c r="D175" s="3">
        <f>IF(raw_csat!C175&gt;=4,1,0)
</f>
        <v>0</v>
      </c>
      <c r="E175" s="3">
        <f>raw_csat!E175</f>
        <v>20</v>
      </c>
      <c r="F175" s="3" t="str">
        <f t="shared" si="1"/>
        <v>11 a 20 min</v>
      </c>
    </row>
    <row r="176">
      <c r="A176" s="5">
        <f>raw_csat!A176</f>
        <v>45658</v>
      </c>
      <c r="B176" s="3" t="str">
        <f>raw_csat!B176</f>
        <v>Chat</v>
      </c>
      <c r="C176" s="3">
        <f>raw_csat!C176</f>
        <v>3</v>
      </c>
      <c r="D176" s="3">
        <f>IF(raw_csat!C176&gt;=4,1,0)
</f>
        <v>0</v>
      </c>
      <c r="E176" s="3">
        <f>raw_csat!E176</f>
        <v>15</v>
      </c>
      <c r="F176" s="3" t="str">
        <f t="shared" si="1"/>
        <v>11 a 20 min</v>
      </c>
    </row>
    <row r="177">
      <c r="A177" s="5">
        <f>raw_csat!A177</f>
        <v>45663</v>
      </c>
      <c r="B177" s="3" t="str">
        <f>raw_csat!B177</f>
        <v>Telefone</v>
      </c>
      <c r="C177" s="3">
        <f>raw_csat!C177</f>
        <v>1</v>
      </c>
      <c r="D177" s="3">
        <f>IF(raw_csat!C177&gt;=4,1,0)
</f>
        <v>0</v>
      </c>
      <c r="E177" s="3">
        <f>raw_csat!E177</f>
        <v>17</v>
      </c>
      <c r="F177" s="3" t="str">
        <f t="shared" si="1"/>
        <v>11 a 20 min</v>
      </c>
    </row>
    <row r="178">
      <c r="A178" s="5">
        <f>raw_csat!A178</f>
        <v>45665</v>
      </c>
      <c r="B178" s="3" t="str">
        <f>raw_csat!B178</f>
        <v>Bot</v>
      </c>
      <c r="C178" s="3">
        <f>raw_csat!C178</f>
        <v>3</v>
      </c>
      <c r="D178" s="3">
        <f>IF(raw_csat!C178&gt;=4,1,0)
</f>
        <v>0</v>
      </c>
      <c r="E178" s="3">
        <f>raw_csat!E178</f>
        <v>29</v>
      </c>
      <c r="F178" s="3" t="str">
        <f t="shared" si="1"/>
        <v>Acima de 20 min</v>
      </c>
    </row>
    <row r="179">
      <c r="A179" s="5">
        <f>raw_csat!A179</f>
        <v>45663</v>
      </c>
      <c r="B179" s="3" t="str">
        <f>raw_csat!B179</f>
        <v>Bot</v>
      </c>
      <c r="C179" s="3">
        <f>raw_csat!C179</f>
        <v>4</v>
      </c>
      <c r="D179" s="3">
        <f>IF(raw_csat!C179&gt;=4,1,0)
</f>
        <v>1</v>
      </c>
      <c r="E179" s="3">
        <f>raw_csat!E179</f>
        <v>9</v>
      </c>
      <c r="F179" s="3" t="str">
        <f t="shared" si="1"/>
        <v>6 a 10 min</v>
      </c>
    </row>
    <row r="180">
      <c r="A180" s="5">
        <f>raw_csat!A180</f>
        <v>45661</v>
      </c>
      <c r="B180" s="3" t="str">
        <f>raw_csat!B180</f>
        <v>Chat</v>
      </c>
      <c r="C180" s="3">
        <f>raw_csat!C180</f>
        <v>5</v>
      </c>
      <c r="D180" s="3">
        <f>IF(raw_csat!C180&gt;=4,1,0)
</f>
        <v>1</v>
      </c>
      <c r="E180" s="3">
        <f>raw_csat!E180</f>
        <v>14</v>
      </c>
      <c r="F180" s="3" t="str">
        <f t="shared" si="1"/>
        <v>11 a 20 min</v>
      </c>
    </row>
    <row r="181">
      <c r="A181" s="5">
        <f>raw_csat!A181</f>
        <v>45677</v>
      </c>
      <c r="B181" s="3" t="str">
        <f>raw_csat!B181</f>
        <v>Telefone</v>
      </c>
      <c r="C181" s="3">
        <f>raw_csat!C181</f>
        <v>4</v>
      </c>
      <c r="D181" s="3">
        <f>IF(raw_csat!C181&gt;=4,1,0)
</f>
        <v>1</v>
      </c>
      <c r="E181" s="3">
        <f>raw_csat!E181</f>
        <v>8</v>
      </c>
      <c r="F181" s="3" t="str">
        <f t="shared" si="1"/>
        <v>6 a 10 min</v>
      </c>
    </row>
    <row r="182">
      <c r="A182" s="5">
        <f>raw_csat!A182</f>
        <v>45666</v>
      </c>
      <c r="B182" s="3" t="str">
        <f>raw_csat!B182</f>
        <v>Bot</v>
      </c>
      <c r="C182" s="3">
        <f>raw_csat!C182</f>
        <v>5</v>
      </c>
      <c r="D182" s="3">
        <f>IF(raw_csat!C182&gt;=4,1,0)
</f>
        <v>1</v>
      </c>
      <c r="E182" s="3">
        <f>raw_csat!E182</f>
        <v>45</v>
      </c>
      <c r="F182" s="3" t="str">
        <f t="shared" si="1"/>
        <v>Acima de 20 min</v>
      </c>
    </row>
    <row r="183">
      <c r="A183" s="5">
        <f>raw_csat!A183</f>
        <v>45660</v>
      </c>
      <c r="B183" s="3" t="str">
        <f>raw_csat!B183</f>
        <v>Telefone</v>
      </c>
      <c r="C183" s="3">
        <f>raw_csat!C183</f>
        <v>4</v>
      </c>
      <c r="D183" s="3">
        <f>IF(raw_csat!C183&gt;=4,1,0)
</f>
        <v>1</v>
      </c>
      <c r="E183" s="3">
        <f>raw_csat!E183</f>
        <v>18</v>
      </c>
      <c r="F183" s="3" t="str">
        <f t="shared" si="1"/>
        <v>11 a 20 min</v>
      </c>
    </row>
    <row r="184">
      <c r="A184" s="5">
        <f>raw_csat!A184</f>
        <v>45668</v>
      </c>
      <c r="B184" s="3" t="str">
        <f>raw_csat!B184</f>
        <v>Telefone</v>
      </c>
      <c r="C184" s="3">
        <f>raw_csat!C184</f>
        <v>2</v>
      </c>
      <c r="D184" s="3">
        <f>IF(raw_csat!C184&gt;=4,1,0)
</f>
        <v>0</v>
      </c>
      <c r="E184" s="3">
        <f>raw_csat!E184</f>
        <v>5</v>
      </c>
      <c r="F184" s="3" t="str">
        <f t="shared" si="1"/>
        <v>Até 5 min</v>
      </c>
    </row>
    <row r="185">
      <c r="A185" s="5">
        <f>raw_csat!A185</f>
        <v>45680</v>
      </c>
      <c r="B185" s="3" t="str">
        <f>raw_csat!B185</f>
        <v>E-mail</v>
      </c>
      <c r="C185" s="3">
        <f>raw_csat!C185</f>
        <v>5</v>
      </c>
      <c r="D185" s="3">
        <f>IF(raw_csat!C185&gt;=4,1,0)
</f>
        <v>1</v>
      </c>
      <c r="E185" s="3">
        <f>raw_csat!E185</f>
        <v>16</v>
      </c>
      <c r="F185" s="3" t="str">
        <f t="shared" si="1"/>
        <v>11 a 20 min</v>
      </c>
    </row>
    <row r="186">
      <c r="A186" s="5">
        <f>raw_csat!A186</f>
        <v>45679</v>
      </c>
      <c r="B186" s="3" t="str">
        <f>raw_csat!B186</f>
        <v>Chat</v>
      </c>
      <c r="C186" s="3">
        <f>raw_csat!C186</f>
        <v>3</v>
      </c>
      <c r="D186" s="3">
        <f>IF(raw_csat!C186&gt;=4,1,0)
</f>
        <v>0</v>
      </c>
      <c r="E186" s="3">
        <f>raw_csat!E186</f>
        <v>7</v>
      </c>
      <c r="F186" s="3" t="str">
        <f t="shared" si="1"/>
        <v>6 a 10 min</v>
      </c>
    </row>
    <row r="187">
      <c r="A187" s="5">
        <f>raw_csat!A187</f>
        <v>45675</v>
      </c>
      <c r="B187" s="3" t="str">
        <f>raw_csat!B187</f>
        <v>E-mail</v>
      </c>
      <c r="C187" s="3">
        <f>raw_csat!C187</f>
        <v>4</v>
      </c>
      <c r="D187" s="3">
        <f>IF(raw_csat!C187&gt;=4,1,0)
</f>
        <v>1</v>
      </c>
      <c r="E187" s="3">
        <f>raw_csat!E187</f>
        <v>4</v>
      </c>
      <c r="F187" s="3" t="str">
        <f t="shared" si="1"/>
        <v>Até 5 min</v>
      </c>
    </row>
    <row r="188">
      <c r="A188" s="5">
        <f>raw_csat!A188</f>
        <v>45675</v>
      </c>
      <c r="B188" s="3" t="str">
        <f>raw_csat!B188</f>
        <v>WhatsApp</v>
      </c>
      <c r="C188" s="3">
        <f>raw_csat!C188</f>
        <v>3</v>
      </c>
      <c r="D188" s="3">
        <f>IF(raw_csat!C188&gt;=4,1,0)
</f>
        <v>0</v>
      </c>
      <c r="E188" s="3">
        <f>raw_csat!E188</f>
        <v>30</v>
      </c>
      <c r="F188" s="3" t="str">
        <f t="shared" si="1"/>
        <v>Acima de 20 min</v>
      </c>
    </row>
    <row r="189">
      <c r="A189" s="5">
        <f>raw_csat!A189</f>
        <v>45673</v>
      </c>
      <c r="B189" s="3" t="str">
        <f>raw_csat!B189</f>
        <v>Bot</v>
      </c>
      <c r="C189" s="3">
        <f>raw_csat!C189</f>
        <v>5</v>
      </c>
      <c r="D189" s="3">
        <f>IF(raw_csat!C189&gt;=4,1,0)
</f>
        <v>1</v>
      </c>
      <c r="E189" s="3">
        <f>raw_csat!E189</f>
        <v>35</v>
      </c>
      <c r="F189" s="3" t="str">
        <f t="shared" si="1"/>
        <v>Acima de 20 min</v>
      </c>
    </row>
    <row r="190">
      <c r="A190" s="5">
        <f>raw_csat!A190</f>
        <v>45670</v>
      </c>
      <c r="B190" s="3" t="str">
        <f>raw_csat!B190</f>
        <v>WhatsApp</v>
      </c>
      <c r="C190" s="3">
        <f>raw_csat!C190</f>
        <v>2</v>
      </c>
      <c r="D190" s="3">
        <f>IF(raw_csat!C190&gt;=4,1,0)
</f>
        <v>0</v>
      </c>
      <c r="E190" s="3">
        <f>raw_csat!E190</f>
        <v>44</v>
      </c>
      <c r="F190" s="3" t="str">
        <f t="shared" si="1"/>
        <v>Acima de 20 min</v>
      </c>
    </row>
    <row r="191">
      <c r="A191" s="5">
        <f>raw_csat!A191</f>
        <v>45678</v>
      </c>
      <c r="B191" s="3" t="str">
        <f>raw_csat!B191</f>
        <v>Telefone</v>
      </c>
      <c r="C191" s="3">
        <f>raw_csat!C191</f>
        <v>1</v>
      </c>
      <c r="D191" s="3">
        <f>IF(raw_csat!C191&gt;=4,1,0)
</f>
        <v>0</v>
      </c>
      <c r="E191" s="3">
        <f>raw_csat!E191</f>
        <v>12</v>
      </c>
      <c r="F191" s="3" t="str">
        <f t="shared" si="1"/>
        <v>11 a 20 min</v>
      </c>
    </row>
    <row r="192">
      <c r="A192" s="5">
        <f>raw_csat!A192</f>
        <v>45685</v>
      </c>
      <c r="B192" s="3" t="str">
        <f>raw_csat!B192</f>
        <v>WhatsApp</v>
      </c>
      <c r="C192" s="3">
        <f>raw_csat!C192</f>
        <v>2</v>
      </c>
      <c r="D192" s="3">
        <f>IF(raw_csat!C192&gt;=4,1,0)
</f>
        <v>0</v>
      </c>
      <c r="E192" s="3">
        <f>raw_csat!E192</f>
        <v>15</v>
      </c>
      <c r="F192" s="3" t="str">
        <f t="shared" si="1"/>
        <v>11 a 20 min</v>
      </c>
    </row>
    <row r="193">
      <c r="A193" s="5">
        <f>raw_csat!A193</f>
        <v>45673</v>
      </c>
      <c r="B193" s="3" t="str">
        <f>raw_csat!B193</f>
        <v>WhatsApp</v>
      </c>
      <c r="C193" s="3">
        <f>raw_csat!C193</f>
        <v>2</v>
      </c>
      <c r="D193" s="3">
        <f>IF(raw_csat!C193&gt;=4,1,0)
</f>
        <v>0</v>
      </c>
      <c r="E193" s="3">
        <f>raw_csat!E193</f>
        <v>26</v>
      </c>
      <c r="F193" s="3" t="str">
        <f t="shared" si="1"/>
        <v>Acima de 20 min</v>
      </c>
    </row>
    <row r="194">
      <c r="A194" s="5">
        <f>raw_csat!A194</f>
        <v>45680</v>
      </c>
      <c r="B194" s="3" t="str">
        <f>raw_csat!B194</f>
        <v>WhatsApp</v>
      </c>
      <c r="C194" s="3">
        <f>raw_csat!C194</f>
        <v>3</v>
      </c>
      <c r="D194" s="3">
        <f>IF(raw_csat!C194&gt;=4,1,0)
</f>
        <v>0</v>
      </c>
      <c r="E194" s="3">
        <f>raw_csat!E194</f>
        <v>21</v>
      </c>
      <c r="F194" s="3" t="str">
        <f t="shared" si="1"/>
        <v>Acima de 20 min</v>
      </c>
    </row>
    <row r="195">
      <c r="A195" s="5">
        <f>raw_csat!A195</f>
        <v>45666</v>
      </c>
      <c r="B195" s="3" t="str">
        <f>raw_csat!B195</f>
        <v>Chat</v>
      </c>
      <c r="C195" s="3">
        <f>raw_csat!C195</f>
        <v>1</v>
      </c>
      <c r="D195" s="3">
        <f>IF(raw_csat!C195&gt;=4,1,0)
</f>
        <v>0</v>
      </c>
      <c r="E195" s="3">
        <f>raw_csat!E195</f>
        <v>45</v>
      </c>
      <c r="F195" s="3" t="str">
        <f t="shared" si="1"/>
        <v>Acima de 20 min</v>
      </c>
    </row>
    <row r="196">
      <c r="A196" s="5">
        <f>raw_csat!A196</f>
        <v>45678</v>
      </c>
      <c r="B196" s="3" t="str">
        <f>raw_csat!B196</f>
        <v>Telefone</v>
      </c>
      <c r="C196" s="3">
        <f>raw_csat!C196</f>
        <v>3</v>
      </c>
      <c r="D196" s="3">
        <f>IF(raw_csat!C196&gt;=4,1,0)
</f>
        <v>0</v>
      </c>
      <c r="E196" s="3">
        <f>raw_csat!E196</f>
        <v>20</v>
      </c>
      <c r="F196" s="3" t="str">
        <f t="shared" si="1"/>
        <v>11 a 20 min</v>
      </c>
    </row>
    <row r="197">
      <c r="A197" s="5">
        <f>raw_csat!A197</f>
        <v>45670</v>
      </c>
      <c r="B197" s="3" t="str">
        <f>raw_csat!B197</f>
        <v>E-mail</v>
      </c>
      <c r="C197" s="3">
        <f>raw_csat!C197</f>
        <v>4</v>
      </c>
      <c r="D197" s="3">
        <f>IF(raw_csat!C197&gt;=4,1,0)
</f>
        <v>1</v>
      </c>
      <c r="E197" s="3">
        <f>raw_csat!E197</f>
        <v>16</v>
      </c>
      <c r="F197" s="3" t="str">
        <f t="shared" si="1"/>
        <v>11 a 20 min</v>
      </c>
    </row>
    <row r="198">
      <c r="A198" s="5">
        <f>raw_csat!A198</f>
        <v>45660</v>
      </c>
      <c r="B198" s="3" t="str">
        <f>raw_csat!B198</f>
        <v>Chat</v>
      </c>
      <c r="C198" s="3">
        <f>raw_csat!C198</f>
        <v>4</v>
      </c>
      <c r="D198" s="3">
        <f>IF(raw_csat!C198&gt;=4,1,0)
</f>
        <v>1</v>
      </c>
      <c r="E198" s="3">
        <f>raw_csat!E198</f>
        <v>25</v>
      </c>
      <c r="F198" s="3" t="str">
        <f t="shared" si="1"/>
        <v>Acima de 20 min</v>
      </c>
    </row>
    <row r="199">
      <c r="A199" s="5">
        <f>raw_csat!A199</f>
        <v>45662</v>
      </c>
      <c r="B199" s="3" t="str">
        <f>raw_csat!B199</f>
        <v>WhatsApp</v>
      </c>
      <c r="C199" s="3">
        <f>raw_csat!C199</f>
        <v>1</v>
      </c>
      <c r="D199" s="3">
        <f>IF(raw_csat!C199&gt;=4,1,0)
</f>
        <v>0</v>
      </c>
      <c r="E199" s="3">
        <f>raw_csat!E199</f>
        <v>25</v>
      </c>
      <c r="F199" s="3" t="str">
        <f t="shared" si="1"/>
        <v>Acima de 20 min</v>
      </c>
    </row>
    <row r="200">
      <c r="A200" s="5">
        <f>raw_csat!A200</f>
        <v>45675</v>
      </c>
      <c r="B200" s="3" t="str">
        <f>raw_csat!B200</f>
        <v>WhatsApp</v>
      </c>
      <c r="C200" s="3">
        <f>raw_csat!C200</f>
        <v>5</v>
      </c>
      <c r="D200" s="3">
        <f>IF(raw_csat!C200&gt;=4,1,0)
</f>
        <v>1</v>
      </c>
      <c r="E200" s="3">
        <f>raw_csat!E200</f>
        <v>14</v>
      </c>
      <c r="F200" s="3" t="str">
        <f t="shared" si="1"/>
        <v>11 a 20 min</v>
      </c>
    </row>
    <row r="201">
      <c r="A201" s="5">
        <f>raw_csat!A201</f>
        <v>45671</v>
      </c>
      <c r="B201" s="3" t="str">
        <f>raw_csat!B201</f>
        <v>Telefone</v>
      </c>
      <c r="C201" s="3">
        <f>raw_csat!C201</f>
        <v>3</v>
      </c>
      <c r="D201" s="3">
        <f>IF(raw_csat!C201&gt;=4,1,0)
</f>
        <v>0</v>
      </c>
      <c r="E201" s="3">
        <f>raw_csat!E201</f>
        <v>38</v>
      </c>
      <c r="F201" s="3" t="str">
        <f t="shared" si="1"/>
        <v>Acima de 20 min</v>
      </c>
    </row>
    <row r="202">
      <c r="A202" s="5">
        <f>raw_csat!A202</f>
        <v>45678</v>
      </c>
      <c r="B202" s="3" t="str">
        <f>raw_csat!B202</f>
        <v>Telefone</v>
      </c>
      <c r="C202" s="3">
        <f>raw_csat!C202</f>
        <v>5</v>
      </c>
      <c r="D202" s="3">
        <f>IF(raw_csat!C202&gt;=4,1,0)
</f>
        <v>1</v>
      </c>
      <c r="E202" s="3">
        <f>raw_csat!E202</f>
        <v>33</v>
      </c>
      <c r="F202" s="3" t="str">
        <f t="shared" si="1"/>
        <v>Acima de 20 min</v>
      </c>
    </row>
    <row r="203">
      <c r="A203" s="5">
        <f>raw_csat!A203</f>
        <v>45670</v>
      </c>
      <c r="B203" s="3" t="str">
        <f>raw_csat!B203</f>
        <v>Bot</v>
      </c>
      <c r="C203" s="3">
        <f>raw_csat!C203</f>
        <v>4</v>
      </c>
      <c r="D203" s="3">
        <f>IF(raw_csat!C203&gt;=4,1,0)
</f>
        <v>1</v>
      </c>
      <c r="E203" s="3">
        <f>raw_csat!E203</f>
        <v>18</v>
      </c>
      <c r="F203" s="3" t="str">
        <f t="shared" si="1"/>
        <v>11 a 20 min</v>
      </c>
    </row>
    <row r="204">
      <c r="A204" s="5">
        <f>raw_csat!A204</f>
        <v>45683</v>
      </c>
      <c r="B204" s="3" t="str">
        <f>raw_csat!B204</f>
        <v>WhatsApp</v>
      </c>
      <c r="C204" s="3">
        <f>raw_csat!C204</f>
        <v>1</v>
      </c>
      <c r="D204" s="3">
        <f>IF(raw_csat!C204&gt;=4,1,0)
</f>
        <v>0</v>
      </c>
      <c r="E204" s="3">
        <f>raw_csat!E204</f>
        <v>38</v>
      </c>
      <c r="F204" s="3" t="str">
        <f t="shared" si="1"/>
        <v>Acima de 20 min</v>
      </c>
    </row>
    <row r="205">
      <c r="A205" s="5">
        <f>raw_csat!A205</f>
        <v>45676</v>
      </c>
      <c r="B205" s="3" t="str">
        <f>raw_csat!B205</f>
        <v>Bot</v>
      </c>
      <c r="C205" s="3">
        <f>raw_csat!C205</f>
        <v>3</v>
      </c>
      <c r="D205" s="3">
        <f>IF(raw_csat!C205&gt;=4,1,0)
</f>
        <v>0</v>
      </c>
      <c r="E205" s="3">
        <f>raw_csat!E205</f>
        <v>29</v>
      </c>
      <c r="F205" s="3" t="str">
        <f t="shared" si="1"/>
        <v>Acima de 20 min</v>
      </c>
    </row>
    <row r="206">
      <c r="A206" s="5">
        <f>raw_csat!A206</f>
        <v>45670</v>
      </c>
      <c r="B206" s="3" t="str">
        <f>raw_csat!B206</f>
        <v>E-mail</v>
      </c>
      <c r="C206" s="3">
        <f>raw_csat!C206</f>
        <v>4</v>
      </c>
      <c r="D206" s="3">
        <f>IF(raw_csat!C206&gt;=4,1,0)
</f>
        <v>1</v>
      </c>
      <c r="E206" s="3">
        <f>raw_csat!E206</f>
        <v>21</v>
      </c>
      <c r="F206" s="3" t="str">
        <f t="shared" si="1"/>
        <v>Acima de 20 min</v>
      </c>
    </row>
    <row r="207">
      <c r="A207" s="5">
        <f>raw_csat!A207</f>
        <v>45687</v>
      </c>
      <c r="B207" s="3" t="str">
        <f>raw_csat!B207</f>
        <v>Chat</v>
      </c>
      <c r="C207" s="3">
        <f>raw_csat!C207</f>
        <v>4</v>
      </c>
      <c r="D207" s="3">
        <f>IF(raw_csat!C207&gt;=4,1,0)
</f>
        <v>1</v>
      </c>
      <c r="E207" s="3">
        <f>raw_csat!E207</f>
        <v>3</v>
      </c>
      <c r="F207" s="3" t="str">
        <f t="shared" si="1"/>
        <v>Até 5 min</v>
      </c>
    </row>
    <row r="208">
      <c r="A208" s="5">
        <f>raw_csat!A208</f>
        <v>45673</v>
      </c>
      <c r="B208" s="3" t="str">
        <f>raw_csat!B208</f>
        <v>Chat</v>
      </c>
      <c r="C208" s="3">
        <f>raw_csat!C208</f>
        <v>1</v>
      </c>
      <c r="D208" s="3">
        <f>IF(raw_csat!C208&gt;=4,1,0)
</f>
        <v>0</v>
      </c>
      <c r="E208" s="3">
        <f>raw_csat!E208</f>
        <v>8</v>
      </c>
      <c r="F208" s="3" t="str">
        <f t="shared" si="1"/>
        <v>6 a 10 min</v>
      </c>
    </row>
    <row r="209">
      <c r="A209" s="5">
        <f>raw_csat!A209</f>
        <v>45658</v>
      </c>
      <c r="B209" s="3" t="str">
        <f>raw_csat!B209</f>
        <v>Bot</v>
      </c>
      <c r="C209" s="3">
        <f>raw_csat!C209</f>
        <v>4</v>
      </c>
      <c r="D209" s="3">
        <f>IF(raw_csat!C209&gt;=4,1,0)
</f>
        <v>1</v>
      </c>
      <c r="E209" s="3">
        <f>raw_csat!E209</f>
        <v>32</v>
      </c>
      <c r="F209" s="3" t="str">
        <f t="shared" si="1"/>
        <v>Acima de 20 min</v>
      </c>
    </row>
    <row r="210">
      <c r="A210" s="5">
        <f>raw_csat!A210</f>
        <v>45668</v>
      </c>
      <c r="B210" s="3" t="str">
        <f>raw_csat!B210</f>
        <v>Bot</v>
      </c>
      <c r="C210" s="3">
        <f>raw_csat!C210</f>
        <v>3</v>
      </c>
      <c r="D210" s="3">
        <f>IF(raw_csat!C210&gt;=4,1,0)
</f>
        <v>0</v>
      </c>
      <c r="E210" s="3">
        <f>raw_csat!E210</f>
        <v>14</v>
      </c>
      <c r="F210" s="3" t="str">
        <f t="shared" si="1"/>
        <v>11 a 20 min</v>
      </c>
    </row>
    <row r="211">
      <c r="A211" s="5">
        <f>raw_csat!A211</f>
        <v>45664</v>
      </c>
      <c r="B211" s="3" t="str">
        <f>raw_csat!B211</f>
        <v>Telefone</v>
      </c>
      <c r="C211" s="3">
        <f>raw_csat!C211</f>
        <v>4</v>
      </c>
      <c r="D211" s="3">
        <f>IF(raw_csat!C211&gt;=4,1,0)
</f>
        <v>1</v>
      </c>
      <c r="E211" s="3">
        <f>raw_csat!E211</f>
        <v>28</v>
      </c>
      <c r="F211" s="3" t="str">
        <f t="shared" si="1"/>
        <v>Acima de 20 min</v>
      </c>
    </row>
    <row r="212">
      <c r="A212" s="5">
        <f>raw_csat!A212</f>
        <v>45678</v>
      </c>
      <c r="B212" s="3" t="str">
        <f>raw_csat!B212</f>
        <v>E-mail</v>
      </c>
      <c r="C212" s="3">
        <f>raw_csat!C212</f>
        <v>2</v>
      </c>
      <c r="D212" s="3">
        <f>IF(raw_csat!C212&gt;=4,1,0)
</f>
        <v>0</v>
      </c>
      <c r="E212" s="3">
        <f>raw_csat!E212</f>
        <v>45</v>
      </c>
      <c r="F212" s="3" t="str">
        <f t="shared" si="1"/>
        <v>Acima de 20 min</v>
      </c>
    </row>
    <row r="213">
      <c r="A213" s="5">
        <f>raw_csat!A213</f>
        <v>45667</v>
      </c>
      <c r="B213" s="3" t="str">
        <f>raw_csat!B213</f>
        <v>E-mail</v>
      </c>
      <c r="C213" s="3">
        <f>raw_csat!C213</f>
        <v>3</v>
      </c>
      <c r="D213" s="3">
        <f>IF(raw_csat!C213&gt;=4,1,0)
</f>
        <v>0</v>
      </c>
      <c r="E213" s="3">
        <f>raw_csat!E213</f>
        <v>6</v>
      </c>
      <c r="F213" s="3" t="str">
        <f t="shared" si="1"/>
        <v>6 a 10 min</v>
      </c>
    </row>
    <row r="214">
      <c r="A214" s="5">
        <f>raw_csat!A214</f>
        <v>45676</v>
      </c>
      <c r="B214" s="3" t="str">
        <f>raw_csat!B214</f>
        <v>WhatsApp</v>
      </c>
      <c r="C214" s="3">
        <f>raw_csat!C214</f>
        <v>4</v>
      </c>
      <c r="D214" s="3">
        <f>IF(raw_csat!C214&gt;=4,1,0)
</f>
        <v>1</v>
      </c>
      <c r="E214" s="3">
        <f>raw_csat!E214</f>
        <v>9</v>
      </c>
      <c r="F214" s="3" t="str">
        <f t="shared" si="1"/>
        <v>6 a 10 min</v>
      </c>
    </row>
    <row r="215">
      <c r="A215" s="5">
        <f>raw_csat!A215</f>
        <v>45683</v>
      </c>
      <c r="B215" s="3" t="str">
        <f>raw_csat!B215</f>
        <v>Telefone</v>
      </c>
      <c r="C215" s="3">
        <f>raw_csat!C215</f>
        <v>5</v>
      </c>
      <c r="D215" s="3">
        <f>IF(raw_csat!C215&gt;=4,1,0)
</f>
        <v>1</v>
      </c>
      <c r="E215" s="3">
        <f>raw_csat!E215</f>
        <v>19</v>
      </c>
      <c r="F215" s="3" t="str">
        <f t="shared" si="1"/>
        <v>11 a 20 min</v>
      </c>
    </row>
    <row r="216">
      <c r="A216" s="5">
        <f>raw_csat!A216</f>
        <v>45686</v>
      </c>
      <c r="B216" s="3" t="str">
        <f>raw_csat!B216</f>
        <v>Bot</v>
      </c>
      <c r="C216" s="3">
        <f>raw_csat!C216</f>
        <v>4</v>
      </c>
      <c r="D216" s="3">
        <f>IF(raw_csat!C216&gt;=4,1,0)
</f>
        <v>1</v>
      </c>
      <c r="E216" s="3">
        <f>raw_csat!E216</f>
        <v>26</v>
      </c>
      <c r="F216" s="3" t="str">
        <f t="shared" si="1"/>
        <v>Acima de 20 min</v>
      </c>
    </row>
    <row r="217">
      <c r="A217" s="5">
        <f>raw_csat!A217</f>
        <v>45687</v>
      </c>
      <c r="B217" s="3" t="str">
        <f>raw_csat!B217</f>
        <v>Chat</v>
      </c>
      <c r="C217" s="3">
        <f>raw_csat!C217</f>
        <v>2</v>
      </c>
      <c r="D217" s="3">
        <f>IF(raw_csat!C217&gt;=4,1,0)
</f>
        <v>0</v>
      </c>
      <c r="E217" s="3">
        <f>raw_csat!E217</f>
        <v>8</v>
      </c>
      <c r="F217" s="3" t="str">
        <f t="shared" si="1"/>
        <v>6 a 10 min</v>
      </c>
    </row>
    <row r="218">
      <c r="A218" s="5">
        <f>raw_csat!A218</f>
        <v>45684</v>
      </c>
      <c r="B218" s="3" t="str">
        <f>raw_csat!B218</f>
        <v>WhatsApp</v>
      </c>
      <c r="C218" s="3">
        <f>raw_csat!C218</f>
        <v>4</v>
      </c>
      <c r="D218" s="3">
        <f>IF(raw_csat!C218&gt;=4,1,0)
</f>
        <v>1</v>
      </c>
      <c r="E218" s="3">
        <f>raw_csat!E218</f>
        <v>9</v>
      </c>
      <c r="F218" s="3" t="str">
        <f t="shared" si="1"/>
        <v>6 a 10 min</v>
      </c>
    </row>
    <row r="219">
      <c r="A219" s="5">
        <f>raw_csat!A219</f>
        <v>45686</v>
      </c>
      <c r="B219" s="3" t="str">
        <f>raw_csat!B219</f>
        <v>Telefone</v>
      </c>
      <c r="C219" s="3">
        <f>raw_csat!C219</f>
        <v>3</v>
      </c>
      <c r="D219" s="3">
        <f>IF(raw_csat!C219&gt;=4,1,0)
</f>
        <v>0</v>
      </c>
      <c r="E219" s="3">
        <f>raw_csat!E219</f>
        <v>26</v>
      </c>
      <c r="F219" s="3" t="str">
        <f t="shared" si="1"/>
        <v>Acima de 20 min</v>
      </c>
    </row>
    <row r="220">
      <c r="A220" s="5">
        <f>raw_csat!A220</f>
        <v>45680</v>
      </c>
      <c r="B220" s="3" t="str">
        <f>raw_csat!B220</f>
        <v>Bot</v>
      </c>
      <c r="C220" s="3">
        <f>raw_csat!C220</f>
        <v>1</v>
      </c>
      <c r="D220" s="3">
        <f>IF(raw_csat!C220&gt;=4,1,0)
</f>
        <v>0</v>
      </c>
      <c r="E220" s="3">
        <f>raw_csat!E220</f>
        <v>42</v>
      </c>
      <c r="F220" s="3" t="str">
        <f t="shared" si="1"/>
        <v>Acima de 20 min</v>
      </c>
    </row>
    <row r="221">
      <c r="A221" s="5">
        <f>raw_csat!A221</f>
        <v>45662</v>
      </c>
      <c r="B221" s="3" t="str">
        <f>raw_csat!B221</f>
        <v>E-mail</v>
      </c>
      <c r="C221" s="3">
        <f>raw_csat!C221</f>
        <v>4</v>
      </c>
      <c r="D221" s="3">
        <f>IF(raw_csat!C221&gt;=4,1,0)
</f>
        <v>1</v>
      </c>
      <c r="E221" s="3">
        <f>raw_csat!E221</f>
        <v>19</v>
      </c>
      <c r="F221" s="3" t="str">
        <f t="shared" si="1"/>
        <v>11 a 20 min</v>
      </c>
    </row>
    <row r="222">
      <c r="A222" s="5">
        <f>raw_csat!A222</f>
        <v>45677</v>
      </c>
      <c r="B222" s="3" t="str">
        <f>raw_csat!B222</f>
        <v>Bot</v>
      </c>
      <c r="C222" s="3">
        <f>raw_csat!C222</f>
        <v>4</v>
      </c>
      <c r="D222" s="3">
        <f>IF(raw_csat!C222&gt;=4,1,0)
</f>
        <v>1</v>
      </c>
      <c r="E222" s="3">
        <f>raw_csat!E222</f>
        <v>9</v>
      </c>
      <c r="F222" s="3" t="str">
        <f t="shared" si="1"/>
        <v>6 a 10 min</v>
      </c>
    </row>
    <row r="223">
      <c r="A223" s="5">
        <f>raw_csat!A223</f>
        <v>45664</v>
      </c>
      <c r="B223" s="3" t="str">
        <f>raw_csat!B223</f>
        <v>E-mail</v>
      </c>
      <c r="C223" s="3">
        <f>raw_csat!C223</f>
        <v>4</v>
      </c>
      <c r="D223" s="3">
        <f>IF(raw_csat!C223&gt;=4,1,0)
</f>
        <v>1</v>
      </c>
      <c r="E223" s="3">
        <f>raw_csat!E223</f>
        <v>28</v>
      </c>
      <c r="F223" s="3" t="str">
        <f t="shared" si="1"/>
        <v>Acima de 20 min</v>
      </c>
    </row>
    <row r="224">
      <c r="A224" s="5">
        <f>raw_csat!A224</f>
        <v>45681</v>
      </c>
      <c r="B224" s="3" t="str">
        <f>raw_csat!B224</f>
        <v>Chat</v>
      </c>
      <c r="C224" s="3">
        <f>raw_csat!C224</f>
        <v>5</v>
      </c>
      <c r="D224" s="3">
        <f>IF(raw_csat!C224&gt;=4,1,0)
</f>
        <v>1</v>
      </c>
      <c r="E224" s="3">
        <f>raw_csat!E224</f>
        <v>34</v>
      </c>
      <c r="F224" s="3" t="str">
        <f t="shared" si="1"/>
        <v>Acima de 20 min</v>
      </c>
    </row>
    <row r="225">
      <c r="A225" s="5">
        <f>raw_csat!A225</f>
        <v>45665</v>
      </c>
      <c r="B225" s="3" t="str">
        <f>raw_csat!B225</f>
        <v>E-mail</v>
      </c>
      <c r="C225" s="3">
        <f>raw_csat!C225</f>
        <v>5</v>
      </c>
      <c r="D225" s="3">
        <f>IF(raw_csat!C225&gt;=4,1,0)
</f>
        <v>1</v>
      </c>
      <c r="E225" s="3">
        <f>raw_csat!E225</f>
        <v>6</v>
      </c>
      <c r="F225" s="3" t="str">
        <f t="shared" si="1"/>
        <v>6 a 10 min</v>
      </c>
    </row>
    <row r="226">
      <c r="A226" s="5">
        <f>raw_csat!A226</f>
        <v>45681</v>
      </c>
      <c r="B226" s="3" t="str">
        <f>raw_csat!B226</f>
        <v>Telefone</v>
      </c>
      <c r="C226" s="3">
        <f>raw_csat!C226</f>
        <v>3</v>
      </c>
      <c r="D226" s="3">
        <f>IF(raw_csat!C226&gt;=4,1,0)
</f>
        <v>0</v>
      </c>
      <c r="E226" s="3">
        <f>raw_csat!E226</f>
        <v>22</v>
      </c>
      <c r="F226" s="3" t="str">
        <f t="shared" si="1"/>
        <v>Acima de 20 min</v>
      </c>
    </row>
    <row r="227">
      <c r="A227" s="5">
        <f>raw_csat!A227</f>
        <v>45681</v>
      </c>
      <c r="B227" s="3" t="str">
        <f>raw_csat!B227</f>
        <v>WhatsApp</v>
      </c>
      <c r="C227" s="3">
        <f>raw_csat!C227</f>
        <v>5</v>
      </c>
      <c r="D227" s="3">
        <f>IF(raw_csat!C227&gt;=4,1,0)
</f>
        <v>1</v>
      </c>
      <c r="E227" s="3">
        <f>raw_csat!E227</f>
        <v>28</v>
      </c>
      <c r="F227" s="3" t="str">
        <f t="shared" si="1"/>
        <v>Acima de 20 min</v>
      </c>
    </row>
    <row r="228">
      <c r="A228" s="5">
        <f>raw_csat!A228</f>
        <v>45659</v>
      </c>
      <c r="B228" s="3" t="str">
        <f>raw_csat!B228</f>
        <v>Bot</v>
      </c>
      <c r="C228" s="3">
        <f>raw_csat!C228</f>
        <v>3</v>
      </c>
      <c r="D228" s="3">
        <f>IF(raw_csat!C228&gt;=4,1,0)
</f>
        <v>0</v>
      </c>
      <c r="E228" s="3">
        <f>raw_csat!E228</f>
        <v>3</v>
      </c>
      <c r="F228" s="3" t="str">
        <f t="shared" si="1"/>
        <v>Até 5 min</v>
      </c>
    </row>
    <row r="229">
      <c r="A229" s="5">
        <f>raw_csat!A229</f>
        <v>45682</v>
      </c>
      <c r="B229" s="3" t="str">
        <f>raw_csat!B229</f>
        <v>Telefone</v>
      </c>
      <c r="C229" s="3">
        <f>raw_csat!C229</f>
        <v>4</v>
      </c>
      <c r="D229" s="3">
        <f>IF(raw_csat!C229&gt;=4,1,0)
</f>
        <v>1</v>
      </c>
      <c r="E229" s="3">
        <f>raw_csat!E229</f>
        <v>24</v>
      </c>
      <c r="F229" s="3" t="str">
        <f t="shared" si="1"/>
        <v>Acima de 20 min</v>
      </c>
    </row>
    <row r="230">
      <c r="A230" s="5">
        <f>raw_csat!A230</f>
        <v>45685</v>
      </c>
      <c r="B230" s="3" t="str">
        <f>raw_csat!B230</f>
        <v>E-mail</v>
      </c>
      <c r="C230" s="3">
        <f>raw_csat!C230</f>
        <v>3</v>
      </c>
      <c r="D230" s="3">
        <f>IF(raw_csat!C230&gt;=4,1,0)
</f>
        <v>0</v>
      </c>
      <c r="E230" s="3">
        <f>raw_csat!E230</f>
        <v>26</v>
      </c>
      <c r="F230" s="3" t="str">
        <f t="shared" si="1"/>
        <v>Acima de 20 min</v>
      </c>
    </row>
    <row r="231">
      <c r="A231" s="5">
        <f>raw_csat!A231</f>
        <v>45685</v>
      </c>
      <c r="B231" s="3" t="str">
        <f>raw_csat!B231</f>
        <v>WhatsApp</v>
      </c>
      <c r="C231" s="3">
        <f>raw_csat!C231</f>
        <v>1</v>
      </c>
      <c r="D231" s="3">
        <f>IF(raw_csat!C231&gt;=4,1,0)
</f>
        <v>0</v>
      </c>
      <c r="E231" s="3">
        <f>raw_csat!E231</f>
        <v>3</v>
      </c>
      <c r="F231" s="3" t="str">
        <f t="shared" si="1"/>
        <v>Até 5 min</v>
      </c>
    </row>
    <row r="232">
      <c r="A232" s="5">
        <f>raw_csat!A232</f>
        <v>45670</v>
      </c>
      <c r="B232" s="3" t="str">
        <f>raw_csat!B232</f>
        <v>Chat</v>
      </c>
      <c r="C232" s="3">
        <f>raw_csat!C232</f>
        <v>3</v>
      </c>
      <c r="D232" s="3">
        <f>IF(raw_csat!C232&gt;=4,1,0)
</f>
        <v>0</v>
      </c>
      <c r="E232" s="3">
        <f>raw_csat!E232</f>
        <v>9</v>
      </c>
      <c r="F232" s="3" t="str">
        <f t="shared" si="1"/>
        <v>6 a 10 min</v>
      </c>
    </row>
    <row r="233">
      <c r="A233" s="5">
        <f>raw_csat!A233</f>
        <v>45675</v>
      </c>
      <c r="B233" s="3" t="str">
        <f>raw_csat!B233</f>
        <v>Bot</v>
      </c>
      <c r="C233" s="3">
        <f>raw_csat!C233</f>
        <v>3</v>
      </c>
      <c r="D233" s="3">
        <f>IF(raw_csat!C233&gt;=4,1,0)
</f>
        <v>0</v>
      </c>
      <c r="E233" s="3">
        <f>raw_csat!E233</f>
        <v>27</v>
      </c>
      <c r="F233" s="3" t="str">
        <f t="shared" si="1"/>
        <v>Acima de 20 min</v>
      </c>
    </row>
    <row r="234">
      <c r="A234" s="5">
        <f>raw_csat!A234</f>
        <v>45671</v>
      </c>
      <c r="B234" s="3" t="str">
        <f>raw_csat!B234</f>
        <v>Bot</v>
      </c>
      <c r="C234" s="3">
        <f>raw_csat!C234</f>
        <v>5</v>
      </c>
      <c r="D234" s="3">
        <f>IF(raw_csat!C234&gt;=4,1,0)
</f>
        <v>1</v>
      </c>
      <c r="E234" s="3">
        <f>raw_csat!E234</f>
        <v>8</v>
      </c>
      <c r="F234" s="3" t="str">
        <f t="shared" si="1"/>
        <v>6 a 10 min</v>
      </c>
    </row>
    <row r="235">
      <c r="A235" s="5">
        <f>raw_csat!A235</f>
        <v>45679</v>
      </c>
      <c r="B235" s="3" t="str">
        <f>raw_csat!B235</f>
        <v>WhatsApp</v>
      </c>
      <c r="C235" s="3">
        <f>raw_csat!C235</f>
        <v>4</v>
      </c>
      <c r="D235" s="3">
        <f>IF(raw_csat!C235&gt;=4,1,0)
</f>
        <v>1</v>
      </c>
      <c r="E235" s="3">
        <f>raw_csat!E235</f>
        <v>32</v>
      </c>
      <c r="F235" s="3" t="str">
        <f t="shared" si="1"/>
        <v>Acima de 20 min</v>
      </c>
    </row>
    <row r="236">
      <c r="A236" s="5">
        <f>raw_csat!A236</f>
        <v>45666</v>
      </c>
      <c r="B236" s="3" t="str">
        <f>raw_csat!B236</f>
        <v>Bot</v>
      </c>
      <c r="C236" s="3">
        <f>raw_csat!C236</f>
        <v>3</v>
      </c>
      <c r="D236" s="3">
        <f>IF(raw_csat!C236&gt;=4,1,0)
</f>
        <v>0</v>
      </c>
      <c r="E236" s="3">
        <f>raw_csat!E236</f>
        <v>12</v>
      </c>
      <c r="F236" s="3" t="str">
        <f t="shared" si="1"/>
        <v>11 a 20 min</v>
      </c>
    </row>
    <row r="237">
      <c r="A237" s="5">
        <f>raw_csat!A237</f>
        <v>45685</v>
      </c>
      <c r="B237" s="3" t="str">
        <f>raw_csat!B237</f>
        <v>WhatsApp</v>
      </c>
      <c r="C237" s="3">
        <f>raw_csat!C237</f>
        <v>3</v>
      </c>
      <c r="D237" s="3">
        <f>IF(raw_csat!C237&gt;=4,1,0)
</f>
        <v>0</v>
      </c>
      <c r="E237" s="3">
        <f>raw_csat!E237</f>
        <v>29</v>
      </c>
      <c r="F237" s="3" t="str">
        <f t="shared" si="1"/>
        <v>Acima de 20 min</v>
      </c>
    </row>
    <row r="238">
      <c r="A238" s="5">
        <f>raw_csat!A238</f>
        <v>45684</v>
      </c>
      <c r="B238" s="3" t="str">
        <f>raw_csat!B238</f>
        <v>WhatsApp</v>
      </c>
      <c r="C238" s="3">
        <f>raw_csat!C238</f>
        <v>5</v>
      </c>
      <c r="D238" s="3">
        <f>IF(raw_csat!C238&gt;=4,1,0)
</f>
        <v>1</v>
      </c>
      <c r="E238" s="3">
        <f>raw_csat!E238</f>
        <v>16</v>
      </c>
      <c r="F238" s="3" t="str">
        <f t="shared" si="1"/>
        <v>11 a 20 min</v>
      </c>
    </row>
    <row r="239">
      <c r="A239" s="5">
        <f>raw_csat!A239</f>
        <v>45667</v>
      </c>
      <c r="B239" s="3" t="str">
        <f>raw_csat!B239</f>
        <v>Chat</v>
      </c>
      <c r="C239" s="3">
        <f>raw_csat!C239</f>
        <v>4</v>
      </c>
      <c r="D239" s="3">
        <f>IF(raw_csat!C239&gt;=4,1,0)
</f>
        <v>1</v>
      </c>
      <c r="E239" s="3">
        <f>raw_csat!E239</f>
        <v>20</v>
      </c>
      <c r="F239" s="3" t="str">
        <f t="shared" si="1"/>
        <v>11 a 20 min</v>
      </c>
    </row>
    <row r="240">
      <c r="A240" s="5">
        <f>raw_csat!A240</f>
        <v>45684</v>
      </c>
      <c r="B240" s="3" t="str">
        <f>raw_csat!B240</f>
        <v>Chat</v>
      </c>
      <c r="C240" s="3">
        <f>raw_csat!C240</f>
        <v>2</v>
      </c>
      <c r="D240" s="3">
        <f>IF(raw_csat!C240&gt;=4,1,0)
</f>
        <v>0</v>
      </c>
      <c r="E240" s="3">
        <f>raw_csat!E240</f>
        <v>3</v>
      </c>
      <c r="F240" s="3" t="str">
        <f t="shared" si="1"/>
        <v>Até 5 min</v>
      </c>
    </row>
    <row r="241">
      <c r="A241" s="5">
        <f>raw_csat!A241</f>
        <v>45660</v>
      </c>
      <c r="B241" s="3" t="str">
        <f>raw_csat!B241</f>
        <v>Telefone</v>
      </c>
      <c r="C241" s="3">
        <f>raw_csat!C241</f>
        <v>2</v>
      </c>
      <c r="D241" s="3">
        <f>IF(raw_csat!C241&gt;=4,1,0)
</f>
        <v>0</v>
      </c>
      <c r="E241" s="3">
        <f>raw_csat!E241</f>
        <v>14</v>
      </c>
      <c r="F241" s="3" t="str">
        <f t="shared" si="1"/>
        <v>11 a 20 min</v>
      </c>
    </row>
    <row r="242">
      <c r="A242" s="5">
        <f>raw_csat!A242</f>
        <v>45686</v>
      </c>
      <c r="B242" s="3" t="str">
        <f>raw_csat!B242</f>
        <v>Bot</v>
      </c>
      <c r="C242" s="3">
        <f>raw_csat!C242</f>
        <v>5</v>
      </c>
      <c r="D242" s="3">
        <f>IF(raw_csat!C242&gt;=4,1,0)
</f>
        <v>1</v>
      </c>
      <c r="E242" s="3">
        <f>raw_csat!E242</f>
        <v>25</v>
      </c>
      <c r="F242" s="3" t="str">
        <f t="shared" si="1"/>
        <v>Acima de 20 min</v>
      </c>
    </row>
    <row r="243">
      <c r="A243" s="5">
        <f>raw_csat!A243</f>
        <v>45673</v>
      </c>
      <c r="B243" s="3" t="str">
        <f>raw_csat!B243</f>
        <v>WhatsApp</v>
      </c>
      <c r="C243" s="3">
        <f>raw_csat!C243</f>
        <v>3</v>
      </c>
      <c r="D243" s="3">
        <f>IF(raw_csat!C243&gt;=4,1,0)
</f>
        <v>0</v>
      </c>
      <c r="E243" s="3">
        <f>raw_csat!E243</f>
        <v>42</v>
      </c>
      <c r="F243" s="3" t="str">
        <f t="shared" si="1"/>
        <v>Acima de 20 min</v>
      </c>
    </row>
    <row r="244">
      <c r="A244" s="5">
        <f>raw_csat!A244</f>
        <v>45658</v>
      </c>
      <c r="B244" s="3" t="str">
        <f>raw_csat!B244</f>
        <v>Chat</v>
      </c>
      <c r="C244" s="3">
        <f>raw_csat!C244</f>
        <v>4</v>
      </c>
      <c r="D244" s="3">
        <f>IF(raw_csat!C244&gt;=4,1,0)
</f>
        <v>1</v>
      </c>
      <c r="E244" s="3">
        <f>raw_csat!E244</f>
        <v>33</v>
      </c>
      <c r="F244" s="3" t="str">
        <f t="shared" si="1"/>
        <v>Acima de 20 min</v>
      </c>
    </row>
    <row r="245">
      <c r="A245" s="5">
        <f>raw_csat!A245</f>
        <v>45682</v>
      </c>
      <c r="B245" s="3" t="str">
        <f>raw_csat!B245</f>
        <v>Bot</v>
      </c>
      <c r="C245" s="3">
        <f>raw_csat!C245</f>
        <v>3</v>
      </c>
      <c r="D245" s="3">
        <f>IF(raw_csat!C245&gt;=4,1,0)
</f>
        <v>0</v>
      </c>
      <c r="E245" s="3">
        <f>raw_csat!E245</f>
        <v>21</v>
      </c>
      <c r="F245" s="3" t="str">
        <f t="shared" si="1"/>
        <v>Acima de 20 min</v>
      </c>
    </row>
    <row r="246">
      <c r="A246" s="5">
        <f>raw_csat!A246</f>
        <v>45670</v>
      </c>
      <c r="B246" s="3" t="str">
        <f>raw_csat!B246</f>
        <v>Bot</v>
      </c>
      <c r="C246" s="3">
        <f>raw_csat!C246</f>
        <v>5</v>
      </c>
      <c r="D246" s="3">
        <f>IF(raw_csat!C246&gt;=4,1,0)
</f>
        <v>1</v>
      </c>
      <c r="E246" s="3">
        <f>raw_csat!E246</f>
        <v>7</v>
      </c>
      <c r="F246" s="3" t="str">
        <f t="shared" si="1"/>
        <v>6 a 10 min</v>
      </c>
    </row>
    <row r="247">
      <c r="A247" s="5">
        <f>raw_csat!A247</f>
        <v>45663</v>
      </c>
      <c r="B247" s="3" t="str">
        <f>raw_csat!B247</f>
        <v>WhatsApp</v>
      </c>
      <c r="C247" s="3">
        <f>raw_csat!C247</f>
        <v>5</v>
      </c>
      <c r="D247" s="3">
        <f>IF(raw_csat!C247&gt;=4,1,0)
</f>
        <v>1</v>
      </c>
      <c r="E247" s="3">
        <f>raw_csat!E247</f>
        <v>18</v>
      </c>
      <c r="F247" s="3" t="str">
        <f t="shared" si="1"/>
        <v>11 a 20 min</v>
      </c>
    </row>
    <row r="248">
      <c r="A248" s="5">
        <f>raw_csat!A248</f>
        <v>45668</v>
      </c>
      <c r="B248" s="3" t="str">
        <f>raw_csat!B248</f>
        <v>WhatsApp</v>
      </c>
      <c r="C248" s="3">
        <f>raw_csat!C248</f>
        <v>1</v>
      </c>
      <c r="D248" s="3">
        <f>IF(raw_csat!C248&gt;=4,1,0)
</f>
        <v>0</v>
      </c>
      <c r="E248" s="3">
        <f>raw_csat!E248</f>
        <v>22</v>
      </c>
      <c r="F248" s="3" t="str">
        <f t="shared" si="1"/>
        <v>Acima de 20 min</v>
      </c>
    </row>
    <row r="249">
      <c r="A249" s="5">
        <f>raw_csat!A249</f>
        <v>45682</v>
      </c>
      <c r="B249" s="3" t="str">
        <f>raw_csat!B249</f>
        <v>WhatsApp</v>
      </c>
      <c r="C249" s="3">
        <f>raw_csat!C249</f>
        <v>5</v>
      </c>
      <c r="D249" s="3">
        <f>IF(raw_csat!C249&gt;=4,1,0)
</f>
        <v>1</v>
      </c>
      <c r="E249" s="3">
        <f>raw_csat!E249</f>
        <v>6</v>
      </c>
      <c r="F249" s="3" t="str">
        <f t="shared" si="1"/>
        <v>6 a 10 min</v>
      </c>
    </row>
    <row r="250">
      <c r="A250" s="5">
        <f>raw_csat!A250</f>
        <v>45668</v>
      </c>
      <c r="B250" s="3" t="str">
        <f>raw_csat!B250</f>
        <v>E-mail</v>
      </c>
      <c r="C250" s="3">
        <f>raw_csat!C250</f>
        <v>1</v>
      </c>
      <c r="D250" s="3">
        <f>IF(raw_csat!C250&gt;=4,1,0)
</f>
        <v>0</v>
      </c>
      <c r="E250" s="3">
        <f>raw_csat!E250</f>
        <v>17</v>
      </c>
      <c r="F250" s="3" t="str">
        <f t="shared" si="1"/>
        <v>11 a 20 min</v>
      </c>
    </row>
    <row r="251">
      <c r="A251" s="5">
        <f>raw_csat!A251</f>
        <v>45678</v>
      </c>
      <c r="B251" s="3" t="str">
        <f>raw_csat!B251</f>
        <v>Telefone</v>
      </c>
      <c r="C251" s="3">
        <f>raw_csat!C251</f>
        <v>1</v>
      </c>
      <c r="D251" s="3">
        <f>IF(raw_csat!C251&gt;=4,1,0)
</f>
        <v>0</v>
      </c>
      <c r="E251" s="3">
        <f>raw_csat!E251</f>
        <v>10</v>
      </c>
      <c r="F251" s="3" t="str">
        <f t="shared" si="1"/>
        <v>6 a 10 min</v>
      </c>
    </row>
    <row r="252">
      <c r="A252" s="5">
        <f>raw_csat!A252</f>
        <v>45683</v>
      </c>
      <c r="B252" s="3" t="str">
        <f>raw_csat!B252</f>
        <v>Bot</v>
      </c>
      <c r="C252" s="3">
        <f>raw_csat!C252</f>
        <v>4</v>
      </c>
      <c r="D252" s="3">
        <f>IF(raw_csat!C252&gt;=4,1,0)
</f>
        <v>1</v>
      </c>
      <c r="E252" s="3">
        <f>raw_csat!E252</f>
        <v>18</v>
      </c>
      <c r="F252" s="3" t="str">
        <f t="shared" si="1"/>
        <v>11 a 20 min</v>
      </c>
    </row>
    <row r="253">
      <c r="A253" s="5">
        <f>raw_csat!A253</f>
        <v>45674</v>
      </c>
      <c r="B253" s="3" t="str">
        <f>raw_csat!B253</f>
        <v>Chat</v>
      </c>
      <c r="C253" s="3">
        <f>raw_csat!C253</f>
        <v>1</v>
      </c>
      <c r="D253" s="3">
        <f>IF(raw_csat!C253&gt;=4,1,0)
</f>
        <v>0</v>
      </c>
      <c r="E253" s="3">
        <f>raw_csat!E253</f>
        <v>31</v>
      </c>
      <c r="F253" s="3" t="str">
        <f t="shared" si="1"/>
        <v>Acima de 20 min</v>
      </c>
    </row>
    <row r="254">
      <c r="A254" s="5">
        <f>raw_csat!A254</f>
        <v>45685</v>
      </c>
      <c r="B254" s="3" t="str">
        <f>raw_csat!B254</f>
        <v>Chat</v>
      </c>
      <c r="C254" s="3">
        <f>raw_csat!C254</f>
        <v>3</v>
      </c>
      <c r="D254" s="3">
        <f>IF(raw_csat!C254&gt;=4,1,0)
</f>
        <v>0</v>
      </c>
      <c r="E254" s="3">
        <f>raw_csat!E254</f>
        <v>21</v>
      </c>
      <c r="F254" s="3" t="str">
        <f t="shared" si="1"/>
        <v>Acima de 20 min</v>
      </c>
    </row>
    <row r="255">
      <c r="A255" s="5">
        <f>raw_csat!A255</f>
        <v>45669</v>
      </c>
      <c r="B255" s="3" t="str">
        <f>raw_csat!B255</f>
        <v>Bot</v>
      </c>
      <c r="C255" s="3">
        <f>raw_csat!C255</f>
        <v>1</v>
      </c>
      <c r="D255" s="3">
        <f>IF(raw_csat!C255&gt;=4,1,0)
</f>
        <v>0</v>
      </c>
      <c r="E255" s="3">
        <f>raw_csat!E255</f>
        <v>29</v>
      </c>
      <c r="F255" s="3" t="str">
        <f t="shared" si="1"/>
        <v>Acima de 20 min</v>
      </c>
    </row>
    <row r="256">
      <c r="A256" s="5">
        <f>raw_csat!A256</f>
        <v>45670</v>
      </c>
      <c r="B256" s="3" t="str">
        <f>raw_csat!B256</f>
        <v>Telefone</v>
      </c>
      <c r="C256" s="3">
        <f>raw_csat!C256</f>
        <v>3</v>
      </c>
      <c r="D256" s="3">
        <f>IF(raw_csat!C256&gt;=4,1,0)
</f>
        <v>0</v>
      </c>
      <c r="E256" s="3">
        <f>raw_csat!E256</f>
        <v>38</v>
      </c>
      <c r="F256" s="3" t="str">
        <f t="shared" si="1"/>
        <v>Acima de 20 min</v>
      </c>
    </row>
    <row r="257">
      <c r="A257" s="5">
        <f>raw_csat!A257</f>
        <v>45681</v>
      </c>
      <c r="B257" s="3" t="str">
        <f>raw_csat!B257</f>
        <v>WhatsApp</v>
      </c>
      <c r="C257" s="3">
        <f>raw_csat!C257</f>
        <v>3</v>
      </c>
      <c r="D257" s="3">
        <f>IF(raw_csat!C257&gt;=4,1,0)
</f>
        <v>0</v>
      </c>
      <c r="E257" s="3">
        <f>raw_csat!E257</f>
        <v>7</v>
      </c>
      <c r="F257" s="3" t="str">
        <f t="shared" si="1"/>
        <v>6 a 10 min</v>
      </c>
    </row>
    <row r="258">
      <c r="A258" s="5">
        <f>raw_csat!A258</f>
        <v>45678</v>
      </c>
      <c r="B258" s="3" t="str">
        <f>raw_csat!B258</f>
        <v>E-mail</v>
      </c>
      <c r="C258" s="3">
        <f>raw_csat!C258</f>
        <v>2</v>
      </c>
      <c r="D258" s="3">
        <f>IF(raw_csat!C258&gt;=4,1,0)
</f>
        <v>0</v>
      </c>
      <c r="E258" s="3">
        <f>raw_csat!E258</f>
        <v>34</v>
      </c>
      <c r="F258" s="3" t="str">
        <f t="shared" si="1"/>
        <v>Acima de 20 min</v>
      </c>
    </row>
    <row r="259">
      <c r="A259" s="5">
        <f>raw_csat!A259</f>
        <v>45685</v>
      </c>
      <c r="B259" s="3" t="str">
        <f>raw_csat!B259</f>
        <v>E-mail</v>
      </c>
      <c r="C259" s="3">
        <f>raw_csat!C259</f>
        <v>3</v>
      </c>
      <c r="D259" s="3">
        <f>IF(raw_csat!C259&gt;=4,1,0)
</f>
        <v>0</v>
      </c>
      <c r="E259" s="3">
        <f>raw_csat!E259</f>
        <v>15</v>
      </c>
      <c r="F259" s="3" t="str">
        <f t="shared" si="1"/>
        <v>11 a 20 min</v>
      </c>
    </row>
    <row r="260">
      <c r="A260" s="5">
        <f>raw_csat!A260</f>
        <v>45668</v>
      </c>
      <c r="B260" s="3" t="str">
        <f>raw_csat!B260</f>
        <v>WhatsApp</v>
      </c>
      <c r="C260" s="3">
        <f>raw_csat!C260</f>
        <v>1</v>
      </c>
      <c r="D260" s="3">
        <f>IF(raw_csat!C260&gt;=4,1,0)
</f>
        <v>0</v>
      </c>
      <c r="E260" s="3">
        <f>raw_csat!E260</f>
        <v>3</v>
      </c>
      <c r="F260" s="3" t="str">
        <f t="shared" si="1"/>
        <v>Até 5 min</v>
      </c>
    </row>
    <row r="261">
      <c r="A261" s="5">
        <f>raw_csat!A261</f>
        <v>45677</v>
      </c>
      <c r="B261" s="3" t="str">
        <f>raw_csat!B261</f>
        <v>Bot</v>
      </c>
      <c r="C261" s="3">
        <f>raw_csat!C261</f>
        <v>5</v>
      </c>
      <c r="D261" s="3">
        <f>IF(raw_csat!C261&gt;=4,1,0)
</f>
        <v>1</v>
      </c>
      <c r="E261" s="3">
        <f>raw_csat!E261</f>
        <v>20</v>
      </c>
      <c r="F261" s="3" t="str">
        <f t="shared" si="1"/>
        <v>11 a 20 min</v>
      </c>
    </row>
    <row r="262">
      <c r="A262" s="5">
        <f>raw_csat!A262</f>
        <v>45681</v>
      </c>
      <c r="B262" s="3" t="str">
        <f>raw_csat!B262</f>
        <v>Telefone</v>
      </c>
      <c r="C262" s="3">
        <f>raw_csat!C262</f>
        <v>3</v>
      </c>
      <c r="D262" s="3">
        <f>IF(raw_csat!C262&gt;=4,1,0)
</f>
        <v>0</v>
      </c>
      <c r="E262" s="3">
        <f>raw_csat!E262</f>
        <v>35</v>
      </c>
      <c r="F262" s="3" t="str">
        <f t="shared" si="1"/>
        <v>Acima de 20 min</v>
      </c>
    </row>
    <row r="263">
      <c r="A263" s="5">
        <f>raw_csat!A263</f>
        <v>45676</v>
      </c>
      <c r="B263" s="3" t="str">
        <f>raw_csat!B263</f>
        <v>Bot</v>
      </c>
      <c r="C263" s="3">
        <f>raw_csat!C263</f>
        <v>1</v>
      </c>
      <c r="D263" s="3">
        <f>IF(raw_csat!C263&gt;=4,1,0)
</f>
        <v>0</v>
      </c>
      <c r="E263" s="3">
        <f>raw_csat!E263</f>
        <v>4</v>
      </c>
      <c r="F263" s="3" t="str">
        <f t="shared" si="1"/>
        <v>Até 5 min</v>
      </c>
    </row>
    <row r="264">
      <c r="A264" s="5">
        <f>raw_csat!A264</f>
        <v>45679</v>
      </c>
      <c r="B264" s="3" t="str">
        <f>raw_csat!B264</f>
        <v>E-mail</v>
      </c>
      <c r="C264" s="3">
        <f>raw_csat!C264</f>
        <v>5</v>
      </c>
      <c r="D264" s="3">
        <f>IF(raw_csat!C264&gt;=4,1,0)
</f>
        <v>1</v>
      </c>
      <c r="E264" s="3">
        <f>raw_csat!E264</f>
        <v>34</v>
      </c>
      <c r="F264" s="3" t="str">
        <f t="shared" si="1"/>
        <v>Acima de 20 min</v>
      </c>
    </row>
    <row r="265">
      <c r="A265" s="5">
        <f>raw_csat!A265</f>
        <v>45675</v>
      </c>
      <c r="B265" s="3" t="str">
        <f>raw_csat!B265</f>
        <v>WhatsApp</v>
      </c>
      <c r="C265" s="3">
        <f>raw_csat!C265</f>
        <v>3</v>
      </c>
      <c r="D265" s="3">
        <f>IF(raw_csat!C265&gt;=4,1,0)
</f>
        <v>0</v>
      </c>
      <c r="E265" s="3">
        <f>raw_csat!E265</f>
        <v>15</v>
      </c>
      <c r="F265" s="3" t="str">
        <f t="shared" si="1"/>
        <v>11 a 20 min</v>
      </c>
    </row>
    <row r="266">
      <c r="A266" s="5">
        <f>raw_csat!A266</f>
        <v>45672</v>
      </c>
      <c r="B266" s="3" t="str">
        <f>raw_csat!B266</f>
        <v>Chat</v>
      </c>
      <c r="C266" s="3">
        <f>raw_csat!C266</f>
        <v>2</v>
      </c>
      <c r="D266" s="3">
        <f>IF(raw_csat!C266&gt;=4,1,0)
</f>
        <v>0</v>
      </c>
      <c r="E266" s="3">
        <f>raw_csat!E266</f>
        <v>30</v>
      </c>
      <c r="F266" s="3" t="str">
        <f t="shared" si="1"/>
        <v>Acima de 20 min</v>
      </c>
    </row>
    <row r="267">
      <c r="A267" s="5">
        <f>raw_csat!A267</f>
        <v>45673</v>
      </c>
      <c r="B267" s="3" t="str">
        <f>raw_csat!B267</f>
        <v>Telefone</v>
      </c>
      <c r="C267" s="3">
        <f>raw_csat!C267</f>
        <v>1</v>
      </c>
      <c r="D267" s="3">
        <f>IF(raw_csat!C267&gt;=4,1,0)
</f>
        <v>0</v>
      </c>
      <c r="E267" s="3">
        <f>raw_csat!E267</f>
        <v>19</v>
      </c>
      <c r="F267" s="3" t="str">
        <f t="shared" si="1"/>
        <v>11 a 20 min</v>
      </c>
    </row>
    <row r="268">
      <c r="A268" s="5">
        <f>raw_csat!A268</f>
        <v>45660</v>
      </c>
      <c r="B268" s="3" t="str">
        <f>raw_csat!B268</f>
        <v>Bot</v>
      </c>
      <c r="C268" s="3">
        <f>raw_csat!C268</f>
        <v>1</v>
      </c>
      <c r="D268" s="3">
        <f>IF(raw_csat!C268&gt;=4,1,0)
</f>
        <v>0</v>
      </c>
      <c r="E268" s="3">
        <f>raw_csat!E268</f>
        <v>43</v>
      </c>
      <c r="F268" s="3" t="str">
        <f t="shared" si="1"/>
        <v>Acima de 20 min</v>
      </c>
    </row>
    <row r="269">
      <c r="A269" s="5">
        <f>raw_csat!A269</f>
        <v>45674</v>
      </c>
      <c r="B269" s="3" t="str">
        <f>raw_csat!B269</f>
        <v>Bot</v>
      </c>
      <c r="C269" s="3">
        <f>raw_csat!C269</f>
        <v>5</v>
      </c>
      <c r="D269" s="3">
        <f>IF(raw_csat!C269&gt;=4,1,0)
</f>
        <v>1</v>
      </c>
      <c r="E269" s="3">
        <f>raw_csat!E269</f>
        <v>12</v>
      </c>
      <c r="F269" s="3" t="str">
        <f t="shared" si="1"/>
        <v>11 a 20 min</v>
      </c>
    </row>
    <row r="270">
      <c r="A270" s="5">
        <f>raw_csat!A270</f>
        <v>45683</v>
      </c>
      <c r="B270" s="3" t="str">
        <f>raw_csat!B270</f>
        <v>Chat</v>
      </c>
      <c r="C270" s="3">
        <f>raw_csat!C270</f>
        <v>1</v>
      </c>
      <c r="D270" s="3">
        <f>IF(raw_csat!C270&gt;=4,1,0)
</f>
        <v>0</v>
      </c>
      <c r="E270" s="3">
        <f>raw_csat!E270</f>
        <v>38</v>
      </c>
      <c r="F270" s="3" t="str">
        <f t="shared" si="1"/>
        <v>Acima de 20 min</v>
      </c>
    </row>
    <row r="271">
      <c r="A271" s="5">
        <f>raw_csat!A271</f>
        <v>45661</v>
      </c>
      <c r="B271" s="3" t="str">
        <f>raw_csat!B271</f>
        <v>Bot</v>
      </c>
      <c r="C271" s="3">
        <f>raw_csat!C271</f>
        <v>1</v>
      </c>
      <c r="D271" s="3">
        <f>IF(raw_csat!C271&gt;=4,1,0)
</f>
        <v>0</v>
      </c>
      <c r="E271" s="3">
        <f>raw_csat!E271</f>
        <v>26</v>
      </c>
      <c r="F271" s="3" t="str">
        <f t="shared" si="1"/>
        <v>Acima de 20 min</v>
      </c>
    </row>
    <row r="272">
      <c r="A272" s="5">
        <f>raw_csat!A272</f>
        <v>45665</v>
      </c>
      <c r="B272" s="3" t="str">
        <f>raw_csat!B272</f>
        <v>E-mail</v>
      </c>
      <c r="C272" s="3">
        <f>raw_csat!C272</f>
        <v>3</v>
      </c>
      <c r="D272" s="3">
        <f>IF(raw_csat!C272&gt;=4,1,0)
</f>
        <v>0</v>
      </c>
      <c r="E272" s="3">
        <f>raw_csat!E272</f>
        <v>3</v>
      </c>
      <c r="F272" s="3" t="str">
        <f t="shared" si="1"/>
        <v>Até 5 min</v>
      </c>
    </row>
    <row r="273">
      <c r="A273" s="5">
        <f>raw_csat!A273</f>
        <v>45676</v>
      </c>
      <c r="B273" s="3" t="str">
        <f>raw_csat!B273</f>
        <v>Bot</v>
      </c>
      <c r="C273" s="3">
        <f>raw_csat!C273</f>
        <v>1</v>
      </c>
      <c r="D273" s="3">
        <f>IF(raw_csat!C273&gt;=4,1,0)
</f>
        <v>0</v>
      </c>
      <c r="E273" s="3">
        <f>raw_csat!E273</f>
        <v>31</v>
      </c>
      <c r="F273" s="3" t="str">
        <f t="shared" si="1"/>
        <v>Acima de 20 min</v>
      </c>
    </row>
    <row r="274">
      <c r="A274" s="5">
        <f>raw_csat!A274</f>
        <v>45663</v>
      </c>
      <c r="B274" s="3" t="str">
        <f>raw_csat!B274</f>
        <v>WhatsApp</v>
      </c>
      <c r="C274" s="3">
        <f>raw_csat!C274</f>
        <v>1</v>
      </c>
      <c r="D274" s="3">
        <f>IF(raw_csat!C274&gt;=4,1,0)
</f>
        <v>0</v>
      </c>
      <c r="E274" s="3">
        <f>raw_csat!E274</f>
        <v>9</v>
      </c>
      <c r="F274" s="3" t="str">
        <f t="shared" si="1"/>
        <v>6 a 10 min</v>
      </c>
    </row>
    <row r="275">
      <c r="A275" s="5">
        <f>raw_csat!A275</f>
        <v>45668</v>
      </c>
      <c r="B275" s="3" t="str">
        <f>raw_csat!B275</f>
        <v>Bot</v>
      </c>
      <c r="C275" s="3">
        <f>raw_csat!C275</f>
        <v>3</v>
      </c>
      <c r="D275" s="3">
        <f>IF(raw_csat!C275&gt;=4,1,0)
</f>
        <v>0</v>
      </c>
      <c r="E275" s="3">
        <f>raw_csat!E275</f>
        <v>12</v>
      </c>
      <c r="F275" s="3" t="str">
        <f t="shared" si="1"/>
        <v>11 a 20 min</v>
      </c>
    </row>
    <row r="276">
      <c r="A276" s="5">
        <f>raw_csat!A276</f>
        <v>45676</v>
      </c>
      <c r="B276" s="3" t="str">
        <f>raw_csat!B276</f>
        <v>Bot</v>
      </c>
      <c r="C276" s="3">
        <f>raw_csat!C276</f>
        <v>5</v>
      </c>
      <c r="D276" s="3">
        <f>IF(raw_csat!C276&gt;=4,1,0)
</f>
        <v>1</v>
      </c>
      <c r="E276" s="3">
        <f>raw_csat!E276</f>
        <v>36</v>
      </c>
      <c r="F276" s="3" t="str">
        <f t="shared" si="1"/>
        <v>Acima de 20 min</v>
      </c>
    </row>
    <row r="277">
      <c r="A277" s="5">
        <f>raw_csat!A277</f>
        <v>45663</v>
      </c>
      <c r="B277" s="3" t="str">
        <f>raw_csat!B277</f>
        <v>WhatsApp</v>
      </c>
      <c r="C277" s="3">
        <f>raw_csat!C277</f>
        <v>5</v>
      </c>
      <c r="D277" s="3">
        <f>IF(raw_csat!C277&gt;=4,1,0)
</f>
        <v>1</v>
      </c>
      <c r="E277" s="3">
        <f>raw_csat!E277</f>
        <v>8</v>
      </c>
      <c r="F277" s="3" t="str">
        <f t="shared" si="1"/>
        <v>6 a 10 min</v>
      </c>
    </row>
    <row r="278">
      <c r="A278" s="5">
        <f>raw_csat!A278</f>
        <v>45663</v>
      </c>
      <c r="B278" s="3" t="str">
        <f>raw_csat!B278</f>
        <v>Chat</v>
      </c>
      <c r="C278" s="3">
        <f>raw_csat!C278</f>
        <v>1</v>
      </c>
      <c r="D278" s="3">
        <f>IF(raw_csat!C278&gt;=4,1,0)
</f>
        <v>0</v>
      </c>
      <c r="E278" s="3">
        <f>raw_csat!E278</f>
        <v>42</v>
      </c>
      <c r="F278" s="3" t="str">
        <f t="shared" si="1"/>
        <v>Acima de 20 min</v>
      </c>
    </row>
    <row r="279">
      <c r="A279" s="5">
        <f>raw_csat!A279</f>
        <v>45666</v>
      </c>
      <c r="B279" s="3" t="str">
        <f>raw_csat!B279</f>
        <v>Telefone</v>
      </c>
      <c r="C279" s="3">
        <f>raw_csat!C279</f>
        <v>2</v>
      </c>
      <c r="D279" s="3">
        <f>IF(raw_csat!C279&gt;=4,1,0)
</f>
        <v>0</v>
      </c>
      <c r="E279" s="3">
        <f>raw_csat!E279</f>
        <v>36</v>
      </c>
      <c r="F279" s="3" t="str">
        <f t="shared" si="1"/>
        <v>Acima de 20 min</v>
      </c>
    </row>
    <row r="280">
      <c r="A280" s="5">
        <f>raw_csat!A280</f>
        <v>45658</v>
      </c>
      <c r="B280" s="3" t="str">
        <f>raw_csat!B280</f>
        <v>Bot</v>
      </c>
      <c r="C280" s="3">
        <f>raw_csat!C280</f>
        <v>4</v>
      </c>
      <c r="D280" s="3">
        <f>IF(raw_csat!C280&gt;=4,1,0)
</f>
        <v>1</v>
      </c>
      <c r="E280" s="3">
        <f>raw_csat!E280</f>
        <v>10</v>
      </c>
      <c r="F280" s="3" t="str">
        <f t="shared" si="1"/>
        <v>6 a 10 min</v>
      </c>
    </row>
    <row r="281">
      <c r="A281" s="5">
        <f>raw_csat!A281</f>
        <v>45674</v>
      </c>
      <c r="B281" s="3" t="str">
        <f>raw_csat!B281</f>
        <v>E-mail</v>
      </c>
      <c r="C281" s="3">
        <f>raw_csat!C281</f>
        <v>5</v>
      </c>
      <c r="D281" s="3">
        <f>IF(raw_csat!C281&gt;=4,1,0)
</f>
        <v>1</v>
      </c>
      <c r="E281" s="3">
        <f>raw_csat!E281</f>
        <v>16</v>
      </c>
      <c r="F281" s="3" t="str">
        <f t="shared" si="1"/>
        <v>11 a 20 min</v>
      </c>
    </row>
    <row r="282">
      <c r="A282" s="5">
        <f>raw_csat!A282</f>
        <v>45685</v>
      </c>
      <c r="B282" s="3" t="str">
        <f>raw_csat!B282</f>
        <v>Telefone</v>
      </c>
      <c r="C282" s="3">
        <f>raw_csat!C282</f>
        <v>2</v>
      </c>
      <c r="D282" s="3">
        <f>IF(raw_csat!C282&gt;=4,1,0)
</f>
        <v>0</v>
      </c>
      <c r="E282" s="3">
        <f>raw_csat!E282</f>
        <v>3</v>
      </c>
      <c r="F282" s="3" t="str">
        <f t="shared" si="1"/>
        <v>Até 5 min</v>
      </c>
    </row>
    <row r="283">
      <c r="A283" s="5">
        <f>raw_csat!A283</f>
        <v>45674</v>
      </c>
      <c r="B283" s="3" t="str">
        <f>raw_csat!B283</f>
        <v>Bot</v>
      </c>
      <c r="C283" s="3">
        <f>raw_csat!C283</f>
        <v>1</v>
      </c>
      <c r="D283" s="3">
        <f>IF(raw_csat!C283&gt;=4,1,0)
</f>
        <v>0</v>
      </c>
      <c r="E283" s="3">
        <f>raw_csat!E283</f>
        <v>23</v>
      </c>
      <c r="F283" s="3" t="str">
        <f t="shared" si="1"/>
        <v>Acima de 20 min</v>
      </c>
    </row>
    <row r="284">
      <c r="A284" s="5">
        <f>raw_csat!A284</f>
        <v>45687</v>
      </c>
      <c r="B284" s="3" t="str">
        <f>raw_csat!B284</f>
        <v>E-mail</v>
      </c>
      <c r="C284" s="3">
        <f>raw_csat!C284</f>
        <v>5</v>
      </c>
      <c r="D284" s="3">
        <f>IF(raw_csat!C284&gt;=4,1,0)
</f>
        <v>1</v>
      </c>
      <c r="E284" s="3">
        <f>raw_csat!E284</f>
        <v>4</v>
      </c>
      <c r="F284" s="3" t="str">
        <f t="shared" si="1"/>
        <v>Até 5 min</v>
      </c>
    </row>
    <row r="285">
      <c r="A285" s="5">
        <f>raw_csat!A285</f>
        <v>45665</v>
      </c>
      <c r="B285" s="3" t="str">
        <f>raw_csat!B285</f>
        <v>Chat</v>
      </c>
      <c r="C285" s="3">
        <f>raw_csat!C285</f>
        <v>3</v>
      </c>
      <c r="D285" s="3">
        <f>IF(raw_csat!C285&gt;=4,1,0)
</f>
        <v>0</v>
      </c>
      <c r="E285" s="3">
        <f>raw_csat!E285</f>
        <v>2</v>
      </c>
      <c r="F285" s="3" t="str">
        <f t="shared" si="1"/>
        <v>Até 5 min</v>
      </c>
    </row>
    <row r="286">
      <c r="A286" s="5">
        <f>raw_csat!A286</f>
        <v>45684</v>
      </c>
      <c r="B286" s="3" t="str">
        <f>raw_csat!B286</f>
        <v>Telefone</v>
      </c>
      <c r="C286" s="3">
        <f>raw_csat!C286</f>
        <v>3</v>
      </c>
      <c r="D286" s="3">
        <f>IF(raw_csat!C286&gt;=4,1,0)
</f>
        <v>0</v>
      </c>
      <c r="E286" s="3">
        <f>raw_csat!E286</f>
        <v>43</v>
      </c>
      <c r="F286" s="3" t="str">
        <f t="shared" si="1"/>
        <v>Acima de 20 min</v>
      </c>
    </row>
    <row r="287">
      <c r="A287" s="5">
        <f>raw_csat!A287</f>
        <v>45677</v>
      </c>
      <c r="B287" s="3" t="str">
        <f>raw_csat!B287</f>
        <v>Chat</v>
      </c>
      <c r="C287" s="3">
        <f>raw_csat!C287</f>
        <v>5</v>
      </c>
      <c r="D287" s="3">
        <f>IF(raw_csat!C287&gt;=4,1,0)
</f>
        <v>1</v>
      </c>
      <c r="E287" s="3">
        <f>raw_csat!E287</f>
        <v>9</v>
      </c>
      <c r="F287" s="3" t="str">
        <f t="shared" si="1"/>
        <v>6 a 10 min</v>
      </c>
    </row>
    <row r="288">
      <c r="A288" s="5">
        <f>raw_csat!A288</f>
        <v>45663</v>
      </c>
      <c r="B288" s="3" t="str">
        <f>raw_csat!B288</f>
        <v>WhatsApp</v>
      </c>
      <c r="C288" s="3">
        <f>raw_csat!C288</f>
        <v>1</v>
      </c>
      <c r="D288" s="3">
        <f>IF(raw_csat!C288&gt;=4,1,0)
</f>
        <v>0</v>
      </c>
      <c r="E288" s="3">
        <f>raw_csat!E288</f>
        <v>17</v>
      </c>
      <c r="F288" s="3" t="str">
        <f t="shared" si="1"/>
        <v>11 a 20 min</v>
      </c>
    </row>
    <row r="289">
      <c r="A289" s="5">
        <f>raw_csat!A289</f>
        <v>45683</v>
      </c>
      <c r="B289" s="3" t="str">
        <f>raw_csat!B289</f>
        <v>Bot</v>
      </c>
      <c r="C289" s="3">
        <f>raw_csat!C289</f>
        <v>5</v>
      </c>
      <c r="D289" s="3">
        <f>IF(raw_csat!C289&gt;=4,1,0)
</f>
        <v>1</v>
      </c>
      <c r="E289" s="3">
        <f>raw_csat!E289</f>
        <v>13</v>
      </c>
      <c r="F289" s="3" t="str">
        <f t="shared" si="1"/>
        <v>11 a 20 min</v>
      </c>
    </row>
    <row r="290">
      <c r="A290" s="5">
        <f>raw_csat!A290</f>
        <v>45684</v>
      </c>
      <c r="B290" s="3" t="str">
        <f>raw_csat!B290</f>
        <v>Telefone</v>
      </c>
      <c r="C290" s="3">
        <f>raw_csat!C290</f>
        <v>3</v>
      </c>
      <c r="D290" s="3">
        <f>IF(raw_csat!C290&gt;=4,1,0)
</f>
        <v>0</v>
      </c>
      <c r="E290" s="3">
        <f>raw_csat!E290</f>
        <v>21</v>
      </c>
      <c r="F290" s="3" t="str">
        <f t="shared" si="1"/>
        <v>Acima de 20 min</v>
      </c>
    </row>
    <row r="291">
      <c r="A291" s="5">
        <f>raw_csat!A291</f>
        <v>45684</v>
      </c>
      <c r="B291" s="3" t="str">
        <f>raw_csat!B291</f>
        <v>Telefone</v>
      </c>
      <c r="C291" s="3">
        <f>raw_csat!C291</f>
        <v>1</v>
      </c>
      <c r="D291" s="3">
        <f>IF(raw_csat!C291&gt;=4,1,0)
</f>
        <v>0</v>
      </c>
      <c r="E291" s="3">
        <f>raw_csat!E291</f>
        <v>15</v>
      </c>
      <c r="F291" s="3" t="str">
        <f t="shared" si="1"/>
        <v>11 a 20 min</v>
      </c>
    </row>
    <row r="292">
      <c r="A292" s="5">
        <f>raw_csat!A292</f>
        <v>45679</v>
      </c>
      <c r="B292" s="3" t="str">
        <f>raw_csat!B292</f>
        <v>Telefone</v>
      </c>
      <c r="C292" s="3">
        <f>raw_csat!C292</f>
        <v>4</v>
      </c>
      <c r="D292" s="3">
        <f>IF(raw_csat!C292&gt;=4,1,0)
</f>
        <v>1</v>
      </c>
      <c r="E292" s="3">
        <f>raw_csat!E292</f>
        <v>32</v>
      </c>
      <c r="F292" s="3" t="str">
        <f t="shared" si="1"/>
        <v>Acima de 20 min</v>
      </c>
    </row>
    <row r="293">
      <c r="A293" s="5">
        <f>raw_csat!A293</f>
        <v>45675</v>
      </c>
      <c r="B293" s="3" t="str">
        <f>raw_csat!B293</f>
        <v>Telefone</v>
      </c>
      <c r="C293" s="3">
        <f>raw_csat!C293</f>
        <v>2</v>
      </c>
      <c r="D293" s="3">
        <f>IF(raw_csat!C293&gt;=4,1,0)
</f>
        <v>0</v>
      </c>
      <c r="E293" s="3">
        <f>raw_csat!E293</f>
        <v>15</v>
      </c>
      <c r="F293" s="3" t="str">
        <f t="shared" si="1"/>
        <v>11 a 20 min</v>
      </c>
    </row>
    <row r="294">
      <c r="A294" s="5">
        <f>raw_csat!A294</f>
        <v>45664</v>
      </c>
      <c r="B294" s="3" t="str">
        <f>raw_csat!B294</f>
        <v>WhatsApp</v>
      </c>
      <c r="C294" s="3">
        <f>raw_csat!C294</f>
        <v>2</v>
      </c>
      <c r="D294" s="3">
        <f>IF(raw_csat!C294&gt;=4,1,0)
</f>
        <v>0</v>
      </c>
      <c r="E294" s="3">
        <f>raw_csat!E294</f>
        <v>5</v>
      </c>
      <c r="F294" s="3" t="str">
        <f t="shared" si="1"/>
        <v>Até 5 min</v>
      </c>
    </row>
    <row r="295">
      <c r="A295" s="5">
        <f>raw_csat!A295</f>
        <v>45672</v>
      </c>
      <c r="B295" s="3" t="str">
        <f>raw_csat!B295</f>
        <v>Chat</v>
      </c>
      <c r="C295" s="3">
        <f>raw_csat!C295</f>
        <v>4</v>
      </c>
      <c r="D295" s="3">
        <f>IF(raw_csat!C295&gt;=4,1,0)
</f>
        <v>1</v>
      </c>
      <c r="E295" s="3">
        <f>raw_csat!E295</f>
        <v>35</v>
      </c>
      <c r="F295" s="3" t="str">
        <f t="shared" si="1"/>
        <v>Acima de 20 min</v>
      </c>
    </row>
    <row r="296">
      <c r="A296" s="5">
        <f>raw_csat!A296</f>
        <v>45667</v>
      </c>
      <c r="B296" s="3" t="str">
        <f>raw_csat!B296</f>
        <v>Chat</v>
      </c>
      <c r="C296" s="3">
        <f>raw_csat!C296</f>
        <v>5</v>
      </c>
      <c r="D296" s="3">
        <f>IF(raw_csat!C296&gt;=4,1,0)
</f>
        <v>1</v>
      </c>
      <c r="E296" s="3">
        <f>raw_csat!E296</f>
        <v>29</v>
      </c>
      <c r="F296" s="3" t="str">
        <f t="shared" si="1"/>
        <v>Acima de 20 min</v>
      </c>
    </row>
    <row r="297">
      <c r="A297" s="5">
        <f>raw_csat!A297</f>
        <v>45672</v>
      </c>
      <c r="B297" s="3" t="str">
        <f>raw_csat!B297</f>
        <v>Bot</v>
      </c>
      <c r="C297" s="3">
        <f>raw_csat!C297</f>
        <v>3</v>
      </c>
      <c r="D297" s="3">
        <f>IF(raw_csat!C297&gt;=4,1,0)
</f>
        <v>0</v>
      </c>
      <c r="E297" s="3">
        <f>raw_csat!E297</f>
        <v>25</v>
      </c>
      <c r="F297" s="3" t="str">
        <f t="shared" si="1"/>
        <v>Acima de 20 min</v>
      </c>
    </row>
    <row r="298">
      <c r="A298" s="5">
        <f>raw_csat!A298</f>
        <v>45669</v>
      </c>
      <c r="B298" s="3" t="str">
        <f>raw_csat!B298</f>
        <v>Chat</v>
      </c>
      <c r="C298" s="3">
        <f>raw_csat!C298</f>
        <v>1</v>
      </c>
      <c r="D298" s="3">
        <f>IF(raw_csat!C298&gt;=4,1,0)
</f>
        <v>0</v>
      </c>
      <c r="E298" s="3">
        <f>raw_csat!E298</f>
        <v>17</v>
      </c>
      <c r="F298" s="3" t="str">
        <f t="shared" si="1"/>
        <v>11 a 20 min</v>
      </c>
    </row>
    <row r="299">
      <c r="A299" s="5">
        <f>raw_csat!A299</f>
        <v>45675</v>
      </c>
      <c r="B299" s="3" t="str">
        <f>raw_csat!B299</f>
        <v>Telefone</v>
      </c>
      <c r="C299" s="3">
        <f>raw_csat!C299</f>
        <v>1</v>
      </c>
      <c r="D299" s="3">
        <f>IF(raw_csat!C299&gt;=4,1,0)
</f>
        <v>0</v>
      </c>
      <c r="E299" s="3">
        <f>raw_csat!E299</f>
        <v>27</v>
      </c>
      <c r="F299" s="3" t="str">
        <f t="shared" si="1"/>
        <v>Acima de 20 min</v>
      </c>
    </row>
    <row r="300">
      <c r="A300" s="5">
        <f>raw_csat!A300</f>
        <v>45671</v>
      </c>
      <c r="B300" s="3" t="str">
        <f>raw_csat!B300</f>
        <v>Bot</v>
      </c>
      <c r="C300" s="3">
        <f>raw_csat!C300</f>
        <v>4</v>
      </c>
      <c r="D300" s="3">
        <f>IF(raw_csat!C300&gt;=4,1,0)
</f>
        <v>1</v>
      </c>
      <c r="E300" s="3">
        <f>raw_csat!E300</f>
        <v>25</v>
      </c>
      <c r="F300" s="3" t="str">
        <f t="shared" si="1"/>
        <v>Acima de 20 min</v>
      </c>
    </row>
    <row r="301">
      <c r="A301" s="5">
        <f>raw_csat!A301</f>
        <v>45664</v>
      </c>
      <c r="B301" s="3" t="str">
        <f>raw_csat!B301</f>
        <v>E-mail</v>
      </c>
      <c r="C301" s="3">
        <f>raw_csat!C301</f>
        <v>1</v>
      </c>
      <c r="D301" s="3">
        <f>IF(raw_csat!C301&gt;=4,1,0)
</f>
        <v>0</v>
      </c>
      <c r="E301" s="3">
        <f>raw_csat!E301</f>
        <v>17</v>
      </c>
      <c r="F301" s="3" t="str">
        <f t="shared" si="1"/>
        <v>11 a 20 min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A1" s="1"/>
      <c r="B1" s="1"/>
    </row>
    <row r="2">
      <c r="A2" s="1" t="s">
        <v>13</v>
      </c>
      <c r="B2" s="1" t="s">
        <v>18</v>
      </c>
      <c r="D2" s="1"/>
      <c r="E2" s="1"/>
    </row>
    <row r="3">
      <c r="A3" s="3" t="s">
        <v>11</v>
      </c>
      <c r="B3" s="3">
        <v>3.0</v>
      </c>
    </row>
    <row r="4">
      <c r="A4" s="3" t="s">
        <v>9</v>
      </c>
      <c r="B4" s="3">
        <v>3.0</v>
      </c>
    </row>
    <row r="5">
      <c r="A5" s="3" t="s">
        <v>10</v>
      </c>
      <c r="B5" s="3">
        <v>4.0</v>
      </c>
    </row>
    <row r="6">
      <c r="A6" s="3" t="s">
        <v>5</v>
      </c>
      <c r="B6" s="3">
        <v>3.0</v>
      </c>
    </row>
    <row r="7">
      <c r="A7" s="3" t="s">
        <v>7</v>
      </c>
      <c r="B7" s="3">
        <v>3.0</v>
      </c>
    </row>
    <row r="8">
      <c r="A8" s="3" t="s">
        <v>19</v>
      </c>
      <c r="B8" s="3">
        <v>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2.71"/>
    <col customWidth="1" min="3" max="3" width="20.57"/>
  </cols>
  <sheetData>
    <row r="1">
      <c r="A1" s="6" t="s">
        <v>20</v>
      </c>
      <c r="B1" s="6" t="s">
        <v>21</v>
      </c>
      <c r="C1" s="6" t="s">
        <v>22</v>
      </c>
    </row>
    <row r="2">
      <c r="A2" s="3">
        <f>AVERAGE(processed_csat!C:C)
</f>
        <v>3.1</v>
      </c>
      <c r="B2" s="7">
        <f>SUM(processed_csat!D:D)/COUNTA(processed_csat!C:C)
</f>
        <v>0.4318936877</v>
      </c>
      <c r="C2" s="3">
        <f>COUNTA(processed_csat!C:C)
</f>
        <v>301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12</v>
      </c>
      <c r="B1" s="1" t="s">
        <v>18</v>
      </c>
    </row>
    <row r="2">
      <c r="A2" s="5">
        <v>45658.0</v>
      </c>
      <c r="B2" s="3">
        <v>3.5</v>
      </c>
    </row>
    <row r="3">
      <c r="A3" s="5">
        <v>45659.0</v>
      </c>
      <c r="B3" s="3">
        <v>3.5</v>
      </c>
    </row>
    <row r="4">
      <c r="A4" s="5">
        <v>45660.0</v>
      </c>
      <c r="B4" s="3">
        <v>3.0</v>
      </c>
    </row>
    <row r="5">
      <c r="A5" s="5">
        <v>45661.0</v>
      </c>
      <c r="B5" s="3">
        <v>3.0</v>
      </c>
    </row>
    <row r="6">
      <c r="A6" s="5">
        <v>45662.0</v>
      </c>
      <c r="B6" s="3">
        <v>3.5</v>
      </c>
    </row>
    <row r="7">
      <c r="A7" s="5">
        <v>45663.0</v>
      </c>
      <c r="B7" s="3">
        <v>2.5</v>
      </c>
    </row>
    <row r="8">
      <c r="A8" s="5">
        <v>45664.0</v>
      </c>
      <c r="B8" s="3">
        <v>4.0</v>
      </c>
    </row>
    <row r="9">
      <c r="A9" s="5">
        <v>45665.0</v>
      </c>
      <c r="B9" s="3">
        <v>2.0</v>
      </c>
    </row>
    <row r="10">
      <c r="A10" s="5">
        <v>45666.0</v>
      </c>
      <c r="B10" s="3">
        <v>2.0</v>
      </c>
    </row>
    <row r="11">
      <c r="A11" s="5">
        <v>45667.0</v>
      </c>
      <c r="B11" s="3">
        <v>3.0</v>
      </c>
    </row>
    <row r="12">
      <c r="A12" s="5">
        <v>45668.0</v>
      </c>
      <c r="B12" s="3">
        <v>3.0</v>
      </c>
    </row>
    <row r="13">
      <c r="A13" s="5">
        <v>45669.0</v>
      </c>
      <c r="B13" s="3">
        <v>3.5</v>
      </c>
    </row>
    <row r="14">
      <c r="A14" s="5">
        <v>45670.0</v>
      </c>
      <c r="B14" s="3">
        <v>4.0</v>
      </c>
    </row>
    <row r="15">
      <c r="A15" s="5">
        <v>45671.0</v>
      </c>
      <c r="B15" s="3">
        <v>3.0</v>
      </c>
    </row>
    <row r="16">
      <c r="A16" s="5">
        <v>45672.0</v>
      </c>
      <c r="B16" s="3">
        <v>3.0</v>
      </c>
    </row>
    <row r="17">
      <c r="A17" s="5">
        <v>45673.0</v>
      </c>
      <c r="B17" s="3">
        <v>2.0</v>
      </c>
    </row>
    <row r="18">
      <c r="A18" s="5">
        <v>45674.0</v>
      </c>
      <c r="B18" s="3">
        <v>4.0</v>
      </c>
    </row>
    <row r="19">
      <c r="A19" s="5">
        <v>45675.0</v>
      </c>
      <c r="B19" s="3">
        <v>3.0</v>
      </c>
    </row>
    <row r="20">
      <c r="A20" s="5">
        <v>45676.0</v>
      </c>
      <c r="B20" s="3">
        <v>3.5</v>
      </c>
    </row>
    <row r="21">
      <c r="A21" s="5">
        <v>45677.0</v>
      </c>
      <c r="B21" s="3">
        <v>4.0</v>
      </c>
    </row>
    <row r="22">
      <c r="A22" s="5">
        <v>45678.0</v>
      </c>
      <c r="B22" s="3">
        <v>3.0</v>
      </c>
    </row>
    <row r="23">
      <c r="A23" s="5">
        <v>45679.0</v>
      </c>
      <c r="B23" s="3">
        <v>4.0</v>
      </c>
    </row>
    <row r="24">
      <c r="A24" s="5">
        <v>45680.0</v>
      </c>
      <c r="B24" s="3">
        <v>2.0</v>
      </c>
    </row>
    <row r="25">
      <c r="A25" s="5">
        <v>45681.0</v>
      </c>
      <c r="B25" s="3">
        <v>4.0</v>
      </c>
    </row>
    <row r="26">
      <c r="A26" s="5">
        <v>45682.0</v>
      </c>
      <c r="B26" s="3">
        <v>4.0</v>
      </c>
    </row>
    <row r="27">
      <c r="A27" s="5">
        <v>45683.0</v>
      </c>
      <c r="B27" s="3">
        <v>4.0</v>
      </c>
    </row>
    <row r="28">
      <c r="A28" s="5">
        <v>45684.0</v>
      </c>
      <c r="B28" s="3">
        <v>3.0</v>
      </c>
    </row>
    <row r="29">
      <c r="A29" s="5">
        <v>45685.0</v>
      </c>
      <c r="B29" s="3">
        <v>3.5</v>
      </c>
    </row>
    <row r="30">
      <c r="A30" s="5">
        <v>45686.0</v>
      </c>
      <c r="B30" s="3">
        <v>4.0</v>
      </c>
    </row>
    <row r="31">
      <c r="A31" s="5">
        <v>45687.0</v>
      </c>
      <c r="B31" s="3">
        <v>3.5</v>
      </c>
    </row>
    <row r="32">
      <c r="A32" s="3" t="s">
        <v>19</v>
      </c>
      <c r="B32" s="3">
        <v>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1.29"/>
    <col customWidth="1" min="4" max="4" width="20.29"/>
  </cols>
  <sheetData>
    <row r="2">
      <c r="B2" s="1" t="s">
        <v>17</v>
      </c>
      <c r="C2" s="1" t="s">
        <v>18</v>
      </c>
      <c r="D2" s="3" t="s">
        <v>23</v>
      </c>
    </row>
    <row r="3">
      <c r="B3" s="3" t="s">
        <v>24</v>
      </c>
      <c r="C3" s="3">
        <v>2.5</v>
      </c>
      <c r="D3" s="3">
        <v>24.0</v>
      </c>
    </row>
    <row r="4">
      <c r="B4" s="3" t="s">
        <v>25</v>
      </c>
      <c r="C4" s="3">
        <v>3.0</v>
      </c>
      <c r="D4" s="3">
        <v>153.0</v>
      </c>
    </row>
    <row r="5">
      <c r="B5" s="3" t="s">
        <v>26</v>
      </c>
      <c r="C5" s="3">
        <v>3.0</v>
      </c>
      <c r="D5" s="3">
        <v>45.0</v>
      </c>
    </row>
    <row r="6">
      <c r="B6" s="3" t="s">
        <v>27</v>
      </c>
      <c r="C6" s="3">
        <v>3.0</v>
      </c>
      <c r="D6" s="3">
        <v>78.0</v>
      </c>
    </row>
    <row r="7">
      <c r="B7" s="3" t="s">
        <v>19</v>
      </c>
      <c r="C7" s="3">
        <v>3.0</v>
      </c>
      <c r="D7" s="3">
        <v>300.0</v>
      </c>
    </row>
  </sheetData>
  <drawing r:id="rId1"/>
</worksheet>
</file>